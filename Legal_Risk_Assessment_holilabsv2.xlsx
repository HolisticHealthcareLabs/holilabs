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isk Register" sheetId="2" state="visible" r:id="rId4"/>
    <sheet name="Heat Map" sheetId="3" state="visible" r:id="rId5"/>
    <sheet name="Regulatory Mapping" sheetId="4" state="visible" r:id="rId6"/>
    <sheet name="Controls Assessment" sheetId="5" state="visible" r:id="rId7"/>
    <sheet name="Escalation Matrix" sheetId="6" state="visible" r:id="rId8"/>
    <sheet name="Scoring Guide" sheetId="7" state="visible" r:id="rId9"/>
    <sheet name="Audit Log" sheetId="8" state="visible" r:id="rId10"/>
  </sheets>
  <definedNames>
    <definedName function="false" hidden="true" localSheetId="4" name="_xlnm._FilterDatabase" vbProcedure="false">'Controls Assessment'!$A$1:$Q$11</definedName>
    <definedName function="false" hidden="true" localSheetId="3" name="_xlnm._FilterDatabase" vbProcedure="false">'Regulatory Mapping'!$A$1:$K$11</definedName>
    <definedName function="false" hidden="true" localSheetId="1" name="_xlnm._FilterDatabase" vbProcedure="false">'Risk Register'!$A$1:$AD$13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<sst xmlns="http://schemas.openxmlformats.org/spreadsheetml/2006/main" count="757" uniqueCount="482">
  <si>
    <t xml:space="preserve">LEGAL RISK DASHBOARD — holilabsv2</t>
  </si>
  <si>
    <t xml:space="preserve">Healthcare / HealthTech — LGPD, HIPAA, ANVISA, COFEPRIS</t>
  </si>
  <si>
    <t xml:space="preserve">Assessment Date: 2026-03-18 | Next Review: 2026-04-18</t>
  </si>
  <si>
    <t xml:space="preserve">Total Risks</t>
  </si>
  <si>
    <t xml:space="preserve">Critical</t>
  </si>
  <si>
    <t xml:space="preserve">High</t>
  </si>
  <si>
    <t xml:space="preserve">Medium</t>
  </si>
  <si>
    <t xml:space="preserve">Low</t>
  </si>
  <si>
    <t xml:space="preserve">Open</t>
  </si>
  <si>
    <t xml:space="preserve">RISKS BY CATEGORY</t>
  </si>
  <si>
    <t xml:space="preserve">Category</t>
  </si>
  <si>
    <t xml:space="preserve">Count</t>
  </si>
  <si>
    <t xml:space="preserve">Avg Score</t>
  </si>
  <si>
    <t xml:space="preserve">Max Score</t>
  </si>
  <si>
    <t xml:space="preserve">Critical/High Count</t>
  </si>
  <si>
    <t xml:space="preserve">Data Privacy</t>
  </si>
  <si>
    <t xml:space="preserve">Regulatory</t>
  </si>
  <si>
    <t xml:space="preserve">Security</t>
  </si>
  <si>
    <t xml:space="preserve">Data Breach</t>
  </si>
  <si>
    <t xml:space="preserve">Consent</t>
  </si>
  <si>
    <t xml:space="preserve">AI Ethics</t>
  </si>
  <si>
    <t xml:space="preserve">Contract</t>
  </si>
  <si>
    <t xml:space="preserve">REGULATORY COMPLIANCE STATUS</t>
  </si>
  <si>
    <t xml:space="preserve">Status</t>
  </si>
  <si>
    <t xml:space="preserve">Strong</t>
  </si>
  <si>
    <t xml:space="preserve">In Progress</t>
  </si>
  <si>
    <t xml:space="preserve">Partial</t>
  </si>
  <si>
    <t xml:space="preserve">Gap</t>
  </si>
  <si>
    <t xml:space="preserve">Not Started</t>
  </si>
  <si>
    <t xml:space="preserve">TOP PRIORITY ACTIONS</t>
  </si>
  <si>
    <t xml:space="preserve">1. Execute SCCs for all LLM provider cross-border data transfers (LGPD Art. 33) — Owner: RUTH — Due: 2026-06-30</t>
  </si>
  <si>
    <t xml:space="preserve">2. Complete BAAs with remaining 5 AI subprocessors (HIPAA) — Owner: CYRUS — Due: 2026-05-31</t>
  </si>
  <si>
    <t xml:space="preserve">3. Prepare ANVISA SaMD classification dossier for CDSS module — Owner: RUTH — Due: 2026-09-30</t>
  </si>
  <si>
    <t xml:space="preserve">4. Refactor consent UI to enforce 4-tier granular consent model — Owner: RUTH + PAUL — Due: 2026-05-15</t>
  </si>
  <si>
    <t xml:space="preserve">5. Conduct demographic bias audit on AI confidence scoring — Owner: ELENA — Due: 2026-06-30</t>
  </si>
  <si>
    <t xml:space="preserve">6. Schedule first incident response tabletop exercise — Owner: CYRUS — Due: 2026-04-30</t>
  </si>
  <si>
    <t xml:space="preserve">7. Map full data lineage for erasure request propagation — Owner: CYRUS + RUTH — Due: 2026-06-30</t>
  </si>
  <si>
    <t xml:space="preserve">Risk ID</t>
  </si>
  <si>
    <t xml:space="preserve">Date Identified</t>
  </si>
  <si>
    <t xml:space="preserve">Last Updated</t>
  </si>
  <si>
    <t xml:space="preserve">Sub-Category</t>
  </si>
  <si>
    <t xml:space="preserve">Risk Description</t>
  </si>
  <si>
    <t xml:space="preserve">Affected Regulation(s)</t>
  </si>
  <si>
    <t xml:space="preserve">Jurisdiction(s)</t>
  </si>
  <si>
    <t xml:space="preserve">Severity (1-5)</t>
  </si>
  <si>
    <t xml:space="preserve">Likelihood (1-5)</t>
  </si>
  <si>
    <t xml:space="preserve">Risk Score</t>
  </si>
  <si>
    <t xml:space="preserve">Risk Level</t>
  </si>
  <si>
    <t xml:space="preserve">Risk Velocity</t>
  </si>
  <si>
    <t xml:space="preserve">Detectability (1-5)</t>
  </si>
  <si>
    <t xml:space="preserve">RPN</t>
  </si>
  <si>
    <t xml:space="preserve">Control Effectiveness</t>
  </si>
  <si>
    <t xml:space="preserve">Residual Severity</t>
  </si>
  <si>
    <t xml:space="preserve">Residual Likelihood</t>
  </si>
  <si>
    <t xml:space="preserve">Residual Score</t>
  </si>
  <si>
    <t xml:space="preserve">Residual Level</t>
  </si>
  <si>
    <t xml:space="preserve">Risk Owner</t>
  </si>
  <si>
    <t xml:space="preserve">Mitigation Strategy</t>
  </si>
  <si>
    <t xml:space="preserve">Current Controls</t>
  </si>
  <si>
    <t xml:space="preserve">Review Cadence</t>
  </si>
  <si>
    <t xml:space="preserve">Next Review Date</t>
  </si>
  <si>
    <t xml:space="preserve">Escalation Required?</t>
  </si>
  <si>
    <t xml:space="preserve">Outside Counsel?</t>
  </si>
  <si>
    <t xml:space="preserve">Board Reporting?</t>
  </si>
  <si>
    <t xml:space="preserve">Notes / Linked Documents</t>
  </si>
  <si>
    <t xml:space="preserve">DP-001</t>
  </si>
  <si>
    <t xml:space="preserve">2026-03-18</t>
  </si>
  <si>
    <t xml:space="preserve">LGPD Compliance</t>
  </si>
  <si>
    <t xml:space="preserve">Cross-border transfer of patient PHI to US-hosted LLM providers without ANPD-approved transfer mechanism (LGPD Art. 33)</t>
  </si>
  <si>
    <t xml:space="preserve">LGPD Art. 33, ANPD Res. 19/2024</t>
  </si>
  <si>
    <t xml:space="preserve">Brazil</t>
  </si>
  <si>
    <t xml:space="preserve">Fast</t>
  </si>
  <si>
    <t xml:space="preserve">DPO / RUTH</t>
  </si>
  <si>
    <t xml:space="preserve">Implement SCCs + DPIA; evaluate local inference</t>
  </si>
  <si>
    <t xml:space="preserve">Data anonymization layer before LLM calls; contractual DPA with providers</t>
  </si>
  <si>
    <t xml:space="preserve">Monthly</t>
  </si>
  <si>
    <t xml:space="preserve">2026-04-18</t>
  </si>
  <si>
    <t xml:space="preserve">Yes</t>
  </si>
  <si>
    <t xml:space="preserve">No</t>
  </si>
  <si>
    <t xml:space="preserve">Link to DPIA-2026-003</t>
  </si>
  <si>
    <t xml:space="preserve">DP-002</t>
  </si>
  <si>
    <t xml:space="preserve">HIPAA PHI Exposure</t>
  </si>
  <si>
    <t xml:space="preserve">Patient PII/PHI fields (CPF, CNS, clinical notes) transmitted to third-party AI without BAA in place</t>
  </si>
  <si>
    <t xml:space="preserve">HIPAA Privacy Rule, HIPAA Security Rule</t>
  </si>
  <si>
    <t xml:space="preserve">United States</t>
  </si>
  <si>
    <t xml:space="preserve">Weak</t>
  </si>
  <si>
    <t xml:space="preserve">CISO / CYRUS</t>
  </si>
  <si>
    <t xml:space="preserve">Execute BAAs with all AI subprocessors; implement field-level encryption</t>
  </si>
  <si>
    <t xml:space="preserve">encryptPHIWithVersion on CPF/CNS fields; audit log hash-chain</t>
  </si>
  <si>
    <t xml:space="preserve">BAA tracker in docs/legal/</t>
  </si>
  <si>
    <t xml:space="preserve">REG-001</t>
  </si>
  <si>
    <t xml:space="preserve">SaMD Classification</t>
  </si>
  <si>
    <t xml:space="preserve">CDSS triage module may constitute SaMD Class II under ANVISA RDC 657/2022 if it influences clinical decisions beyond information display</t>
  </si>
  <si>
    <t xml:space="preserve">ANVISA RDC 657/2022, IEC 62304, ISO 13485</t>
  </si>
  <si>
    <t xml:space="preserve">Brazil, LATAM</t>
  </si>
  <si>
    <t xml:space="preserve">Moderate</t>
  </si>
  <si>
    <t xml:space="preserve">CLO / RUTH</t>
  </si>
  <si>
    <t xml:space="preserve">Engage ANVISA regulatory counsel; prepare classification dossier</t>
  </si>
  <si>
    <t xml:space="preserve">UI disclaimers; clinical provenance metadata on all rules; human-in-the-loop gate</t>
  </si>
  <si>
    <t xml:space="preserve">Bi-weekly</t>
  </si>
  <si>
    <t xml:space="preserve">2026-04-01</t>
  </si>
  <si>
    <t xml:space="preserve">CDSS_IMPLEMENTATION_GUIDE.md</t>
  </si>
  <si>
    <t xml:space="preserve">REG-002</t>
  </si>
  <si>
    <t xml:space="preserve">Telemedicine AI Limits</t>
  </si>
  <si>
    <t xml:space="preserve">AI-assisted clinical recommendations may exceed CFM Resolução 2.314/2022 boundaries for AI in telemedicine</t>
  </si>
  <si>
    <t xml:space="preserve">CFM Res. 2.314/2022</t>
  </si>
  <si>
    <t xml:space="preserve">CMO / ELENA</t>
  </si>
  <si>
    <t xml:space="preserve">Ensure human review gate on all AI outputs; document compliance mapping</t>
  </si>
  <si>
    <t xml:space="preserve">Manchester triage requires physician sign-off; AI confidence scoring with thresholds</t>
  </si>
  <si>
    <t xml:space="preserve">Consider</t>
  </si>
  <si>
    <t xml:space="preserve">AI_CONFIDENCE_SCORING_IMPLEMENTATION.md</t>
  </si>
  <si>
    <t xml:space="preserve">SEC-001</t>
  </si>
  <si>
    <t xml:space="preserve">Tenant Isolation Breach</t>
  </si>
  <si>
    <t xml:space="preserve">Cross-tenant data leakage risk in multi-tenant architecture if row-level security or verifyPatientAccess() is bypassed</t>
  </si>
  <si>
    <t xml:space="preserve">LGPD Art. 46, HIPAA Security Rule</t>
  </si>
  <si>
    <t xml:space="preserve">Brazil, US</t>
  </si>
  <si>
    <t xml:space="preserve">Penetration testing; row-level security audit; circuit breaker monitoring</t>
  </si>
  <si>
    <t xml:space="preserve">createProtectedRoute RBAC guard; verifyPatientAccess() on all patient endpoints; tenant-scoped queries</t>
  </si>
  <si>
    <t xml:space="preserve">Quarterly</t>
  </si>
  <si>
    <t xml:space="preserve">2026-06-18</t>
  </si>
  <si>
    <t xml:space="preserve">SEC-002</t>
  </si>
  <si>
    <t xml:space="preserve">Audit Trail Integrity</t>
  </si>
  <si>
    <t xml:space="preserve">Risk of audit log tampering or deletion violating LGPD Art. 37 retention requirements and hash-chain integrity</t>
  </si>
  <si>
    <t xml:space="preserve">LGPD Art. 37, SOC 2 CC7.2</t>
  </si>
  <si>
    <t xml:space="preserve">Slow</t>
  </si>
  <si>
    <t xml:space="preserve">Append-only storage; cryptographic hash-chain verification; immutable backups</t>
  </si>
  <si>
    <t xml:space="preserve">Hash-chain AuditLog; GovernanceEvent immutability; scheduled integrity checks</t>
  </si>
  <si>
    <t xml:space="preserve">Mitigated</t>
  </si>
  <si>
    <t xml:space="preserve">BREACH-001</t>
  </si>
  <si>
    <t xml:space="preserve">Breach Notification</t>
  </si>
  <si>
    <t xml:space="preserve">Failure to meet 72-hour ANPD notification deadline or 60-day HHS notification for breaches affecting &gt;500 individuals</t>
  </si>
  <si>
    <t xml:space="preserve">LGPD Art. 48, HIPAA Breach Notification Rule</t>
  </si>
  <si>
    <t xml:space="preserve">DPO / RUTH + CYRUS</t>
  </si>
  <si>
    <t xml:space="preserve">Incident response playbook; pre-drafted notification templates; tabletop exercises</t>
  </si>
  <si>
    <t xml:space="preserve">Incident response runbook; pre-approved BAA email templates; monitoring alerts</t>
  </si>
  <si>
    <t xml:space="preserve">BAA_EMAIL_TEMPLATES_READY_TO_SEND.md</t>
  </si>
  <si>
    <t xml:space="preserve">CONSENT-001</t>
  </si>
  <si>
    <t xml:space="preserve">Granular Consent</t>
  </si>
  <si>
    <t xml:space="preserve">Single-checkbox consent flow that collapses treatment, research, and AI processing consent into one action, violating LGPD granularity requirements</t>
  </si>
  <si>
    <t xml:space="preserve">LGPD Art. 8, Art. 11</t>
  </si>
  <si>
    <t xml:space="preserve">Implement 4-tier consent: treatment, research, AI processing, data sharing</t>
  </si>
  <si>
    <t xml:space="preserve">Consent management module in shared-kernel; withdrawal API endpoint</t>
  </si>
  <si>
    <t xml:space="preserve">AI-001</t>
  </si>
  <si>
    <t xml:space="preserve">Algorithmic Bias</t>
  </si>
  <si>
    <t xml:space="preserve">Clinical decision support algorithms may exhibit demographic bias (age, ethnicity, socioeconomic) in triage or biomarker interpretation</t>
  </si>
  <si>
    <t xml:space="preserve">LGPD Art. 20, EU AI Act (reference), CFM Res. 2.314</t>
  </si>
  <si>
    <t xml:space="preserve">Bias auditing framework; demographic parity monitoring; explainability requirements</t>
  </si>
  <si>
    <t xml:space="preserve">AI confidence scoring; Tier 1-3 evidence source classification; human review gate</t>
  </si>
  <si>
    <t xml:space="preserve">CONTRACT-001</t>
  </si>
  <si>
    <t xml:space="preserve">Vendor DPA Gaps</t>
  </si>
  <si>
    <t xml:space="preserve">Third-party AI/cloud vendors processing PHI without adequate DPAs or sub-processor controls per LGPD/HIPAA</t>
  </si>
  <si>
    <t xml:space="preserve">LGPD Art. 39-40, HIPAA BAA Requirements</t>
  </si>
  <si>
    <t xml:space="preserve">DPA/BAA audit of all vendors; standardized DPA template; sub-processor registry</t>
  </si>
  <si>
    <t xml:space="preserve">Existing BAAs with primary cloud providers; DPA review checklist</t>
  </si>
  <si>
    <t xml:space="preserve">ERASURE-001</t>
  </si>
  <si>
    <t xml:space="preserve">Right to Erasure</t>
  </si>
  <si>
    <t xml:space="preserve">Data subject erasure requests may fail to propagate to all systems (backups, LLM training data, analytics) within LGPD-mandated timelines</t>
  </si>
  <si>
    <t xml:space="preserve">LGPD Art. 18(VI), HIPAA Right of Access</t>
  </si>
  <si>
    <t xml:space="preserve">Cryptographic erasure pipeline; data lineage mapping; automated propagation</t>
  </si>
  <si>
    <t xml:space="preserve">Erasure API endpoint with legalBasis field; AuditLog retention exception per LGPD Art. 37</t>
  </si>
  <si>
    <t xml:space="preserve">COFEPRIS-001</t>
  </si>
  <si>
    <t xml:space="preserve">Mexico SaMD</t>
  </si>
  <si>
    <t xml:space="preserve">Expansion into Mexico market requires COFEPRIS classification and registration for clinical decision support modules</t>
  </si>
  <si>
    <t xml:space="preserve">COFEPRIS Medical Device Regulations</t>
  </si>
  <si>
    <t xml:space="preserve">Mexico</t>
  </si>
  <si>
    <t xml:space="preserve">None</t>
  </si>
  <si>
    <t xml:space="preserve">Engage Mexican regulatory counsel; prepare COFEPRIS pre-submission; timeline assessment</t>
  </si>
  <si>
    <t xml:space="preserve">No controls in place — pre-market entry phase</t>
  </si>
  <si>
    <t xml:space="preserve">RISK HEAT MAP — Severity × Likelihood</t>
  </si>
  <si>
    <t xml:space="preserve">Severity ↓ / Likelihood →</t>
  </si>
  <si>
    <t xml:space="preserve">Remote (1)</t>
  </si>
  <si>
    <t xml:space="preserve">Unlikely (2)</t>
  </si>
  <si>
    <t xml:space="preserve">Possible (3)</t>
  </si>
  <si>
    <t xml:space="preserve">Likely (4)</t>
  </si>
  <si>
    <t xml:space="preserve">Almost Certain (5)</t>
  </si>
  <si>
    <t xml:space="preserve">Critical (5)</t>
  </si>
  <si>
    <t xml:space="preserve">High (4)</t>
  </si>
  <si>
    <t xml:space="preserve">Moderate (3)</t>
  </si>
  <si>
    <t xml:space="preserve">Low (2)</t>
  </si>
  <si>
    <t xml:space="preserve">Negligible (1)</t>
  </si>
  <si>
    <t xml:space="preserve">RISK PLACEMENT</t>
  </si>
  <si>
    <t xml:space="preserve">Severity</t>
  </si>
  <si>
    <t xml:space="preserve">Likelihood</t>
  </si>
  <si>
    <t xml:space="preserve">Score</t>
  </si>
  <si>
    <t xml:space="preserve">Level</t>
  </si>
  <si>
    <t xml:space="preserve">Quadrant Action</t>
  </si>
  <si>
    <t xml:space="preserve">Regulation</t>
  </si>
  <si>
    <t xml:space="preserve">Jurisdiction</t>
  </si>
  <si>
    <t xml:space="preserve">Applicable To</t>
  </si>
  <si>
    <t xml:space="preserve">Key Requirements</t>
  </si>
  <si>
    <t xml:space="preserve">Penalty / Fine Range</t>
  </si>
  <si>
    <t xml:space="preserve">Enforcement Trend</t>
  </si>
  <si>
    <t xml:space="preserve">Compliance Status</t>
  </si>
  <si>
    <t xml:space="preserve">Gap Description</t>
  </si>
  <si>
    <t xml:space="preserve">Remediation Owner</t>
  </si>
  <si>
    <t xml:space="preserve">Target Date</t>
  </si>
  <si>
    <t xml:space="preserve">Priority</t>
  </si>
  <si>
    <t xml:space="preserve">LGPD (Lei 13.709/2018)</t>
  </si>
  <si>
    <t xml:space="preserve">All patient data processing</t>
  </si>
  <si>
    <t xml:space="preserve">Lawful basis, consent granularity, DPO appointment, DPIA, cross-border transfer controls, breach notification (72h)</t>
  </si>
  <si>
    <t xml:space="preserve">Up to R$50M per infraction or 2% of revenue</t>
  </si>
  <si>
    <t xml:space="preserve">Increasing — ANPD issuing sectoral guidance for health</t>
  </si>
  <si>
    <t xml:space="preserve">Cross-border LLM transfers lack approved mechanism; consent granularity incomplete</t>
  </si>
  <si>
    <t xml:space="preserve">2026-06-30</t>
  </si>
  <si>
    <t xml:space="preserve">P0</t>
  </si>
  <si>
    <t xml:space="preserve">HIPAA Privacy Rule</t>
  </si>
  <si>
    <t xml:space="preserve">PHI of US patients or US-based operations</t>
  </si>
  <si>
    <t xml:space="preserve">Minimum necessary standard, patient access rights, accounting of disclosures, BAA requirements</t>
  </si>
  <si>
    <t xml:space="preserve">Up to $2.1M per violation category per year; criminal penalties possible</t>
  </si>
  <si>
    <t xml:space="preserve">Active — HHS OCR investigating AI-related PHI exposures</t>
  </si>
  <si>
    <t xml:space="preserve">BAAs needed with AI subprocessors; accounting of disclosures for AI processing</t>
  </si>
  <si>
    <t xml:space="preserve">2026-05-31</t>
  </si>
  <si>
    <t xml:space="preserve">HIPAA Security Rule</t>
  </si>
  <si>
    <t xml:space="preserve">ePHI systems and infrastructure</t>
  </si>
  <si>
    <t xml:space="preserve">Administrative, physical, technical safeguards; risk analysis; encryption; access controls; audit controls</t>
  </si>
  <si>
    <t xml:space="preserve">Same as Privacy Rule</t>
  </si>
  <si>
    <t xml:space="preserve">Active enforcement</t>
  </si>
  <si>
    <t xml:space="preserve">Annual risk analysis due; encryption audit for new AI pipeline</t>
  </si>
  <si>
    <t xml:space="preserve">P1</t>
  </si>
  <si>
    <t xml:space="preserve">ANVISA RDC 657/2022</t>
  </si>
  <si>
    <t xml:space="preserve">CDSS / clinical triage module</t>
  </si>
  <si>
    <t xml:space="preserve">SaMD classification (I-IV), QMS (ISO 13485), software lifecycle (IEC 62304), clinical evidence</t>
  </si>
  <si>
    <t xml:space="preserve">Product recall, market withdrawal, fines</t>
  </si>
  <si>
    <t xml:space="preserve">New regulation — enforcement building</t>
  </si>
  <si>
    <t xml:space="preserve">No classification dossier prepared; QMS not formalized for CDSS module</t>
  </si>
  <si>
    <t xml:space="preserve">2026-09-30</t>
  </si>
  <si>
    <t xml:space="preserve">AI-assisted clinical recommendations</t>
  </si>
  <si>
    <t xml:space="preserve">Physician oversight of AI in telemedicine; transparency of AI involvement; patient consent for AI</t>
  </si>
  <si>
    <t xml:space="preserve">Professional sanctions; practice restrictions</t>
  </si>
  <si>
    <t xml:space="preserve">Moderate enforcement</t>
  </si>
  <si>
    <t xml:space="preserve">Need explicit patient notification of AI involvement in triage</t>
  </si>
  <si>
    <t xml:space="preserve">IEC 62304</t>
  </si>
  <si>
    <t xml:space="preserve">International</t>
  </si>
  <si>
    <t xml:space="preserve">Medical device software lifecycle</t>
  </si>
  <si>
    <t xml:space="preserve">Software safety classification, development process, maintenance, risk management</t>
  </si>
  <si>
    <t xml:space="preserve">Prerequisite for SaMD registration</t>
  </si>
  <si>
    <t xml:space="preserve">Standard requirement</t>
  </si>
  <si>
    <t xml:space="preserve">No formal software lifecycle documentation per IEC 62304 for CDSS</t>
  </si>
  <si>
    <t xml:space="preserve">CTO / ARCHIE</t>
  </si>
  <si>
    <t xml:space="preserve">ISO 13485</t>
  </si>
  <si>
    <t xml:space="preserve">Quality management system for medical devices</t>
  </si>
  <si>
    <t xml:space="preserve">QMS establishment, document control, design controls, CAPA, management review</t>
  </si>
  <si>
    <t xml:space="preserve">No QMS in place for CDSS module</t>
  </si>
  <si>
    <t xml:space="preserve">COFEPRIS</t>
  </si>
  <si>
    <t xml:space="preserve">Clinical software for Mexico market</t>
  </si>
  <si>
    <t xml:space="preserve">Medical device registration, classification, post-market surveillance</t>
  </si>
  <si>
    <t xml:space="preserve">Market entry prohibition; fines</t>
  </si>
  <si>
    <t xml:space="preserve">Moderate — expanding digital health regulation</t>
  </si>
  <si>
    <t xml:space="preserve">Pre-market entry — full regulatory pathway required</t>
  </si>
  <si>
    <t xml:space="preserve">2026-12-31</t>
  </si>
  <si>
    <t xml:space="preserve">P2</t>
  </si>
  <si>
    <t xml:space="preserve">SOC 2 Type II</t>
  </si>
  <si>
    <t xml:space="preserve">Infrastructure and data handling</t>
  </si>
  <si>
    <t xml:space="preserve">Trust service criteria: security, availability, processing integrity, confidentiality, privacy</t>
  </si>
  <si>
    <t xml:space="preserve">Customer trust / contract requirement</t>
  </si>
  <si>
    <t xml:space="preserve">Market expectation for B2B healthtech</t>
  </si>
  <si>
    <t xml:space="preserve">Controls documented; audit scheduled</t>
  </si>
  <si>
    <t xml:space="preserve">ANPD Res. 19/2024</t>
  </si>
  <si>
    <t xml:space="preserve">International data transfers</t>
  </si>
  <si>
    <t xml:space="preserve">Standard contractual clauses, adequacy assessments, binding corporate rules</t>
  </si>
  <si>
    <t xml:space="preserve">Covered under LGPD penalties</t>
  </si>
  <si>
    <t xml:space="preserve">New — first enforcement actions expected 2026</t>
  </si>
  <si>
    <t xml:space="preserve">No SCCs executed for LLM provider data transfers</t>
  </si>
  <si>
    <t xml:space="preserve">Control ID</t>
  </si>
  <si>
    <t xml:space="preserve">Control Name</t>
  </si>
  <si>
    <t xml:space="preserve">Control Type</t>
  </si>
  <si>
    <t xml:space="preserve">Control Category</t>
  </si>
  <si>
    <t xml:space="preserve">Description</t>
  </si>
  <si>
    <t xml:space="preserve">Linked Risk ID(s)</t>
  </si>
  <si>
    <t xml:space="preserve">Linked Regulation(s)</t>
  </si>
  <si>
    <t xml:space="preserve">Implementation Status</t>
  </si>
  <si>
    <t xml:space="preserve">Design Effectiveness</t>
  </si>
  <si>
    <t xml:space="preserve">Operating Effectiveness</t>
  </si>
  <si>
    <t xml:space="preserve">Test Method</t>
  </si>
  <si>
    <t xml:space="preserve">Last Tested</t>
  </si>
  <si>
    <t xml:space="preserve">Test Result</t>
  </si>
  <si>
    <t xml:space="preserve">Gap / Finding</t>
  </si>
  <si>
    <t xml:space="preserve">Remediation Plan</t>
  </si>
  <si>
    <t xml:space="preserve">Owner</t>
  </si>
  <si>
    <t xml:space="preserve">CTRL-001</t>
  </si>
  <si>
    <t xml:space="preserve">Field-Level PHI Encryption</t>
  </si>
  <si>
    <t xml:space="preserve">Technical</t>
  </si>
  <si>
    <t xml:space="preserve">Data Protection</t>
  </si>
  <si>
    <t xml:space="preserve">encryptPHIWithVersion applied to CPF, CNS, RG, clinical notes before database write</t>
  </si>
  <si>
    <t xml:space="preserve">DP-001, DP-002, SEC-001</t>
  </si>
  <si>
    <t xml:space="preserve">Implemented</t>
  </si>
  <si>
    <t xml:space="preserve">Effective</t>
  </si>
  <si>
    <t xml:space="preserve">Code review + penetration test</t>
  </si>
  <si>
    <t xml:space="preserve">2026-02-15</t>
  </si>
  <si>
    <t xml:space="preserve">Pass</t>
  </si>
  <si>
    <t xml:space="preserve">CYRUS</t>
  </si>
  <si>
    <t xml:space="preserve">CTRL-002</t>
  </si>
  <si>
    <t xml:space="preserve">RBAC Route Protection</t>
  </si>
  <si>
    <t xml:space="preserve">Access Control</t>
  </si>
  <si>
    <t xml:space="preserve">createProtectedRoute guard on all patient-facing API endpoints with role verification</t>
  </si>
  <si>
    <t xml:space="preserve">HIPAA Security Rule, LGPD Art. 46</t>
  </si>
  <si>
    <t xml:space="preserve">Automated test suite + manual audit</t>
  </si>
  <si>
    <t xml:space="preserve">2026-03-01</t>
  </si>
  <si>
    <t xml:space="preserve">CTRL-003</t>
  </si>
  <si>
    <t xml:space="preserve">Audit Log Hash-Chain</t>
  </si>
  <si>
    <t xml:space="preserve">Audit Trail</t>
  </si>
  <si>
    <t xml:space="preserve">Append-only AuditLog with cryptographic hash-chain; GovernanceEvent immutability enforced</t>
  </si>
  <si>
    <t xml:space="preserve">Integrity verification script</t>
  </si>
  <si>
    <t xml:space="preserve">2026-03-10</t>
  </si>
  <si>
    <t xml:space="preserve">CTRL-004</t>
  </si>
  <si>
    <t xml:space="preserve">Granular Consent Management</t>
  </si>
  <si>
    <t xml:space="preserve">Administrative</t>
  </si>
  <si>
    <t xml:space="preserve">4-tier consent flow: treatment, research, AI processing, data sharing with individual withdrawal</t>
  </si>
  <si>
    <t xml:space="preserve">Needs Improvement</t>
  </si>
  <si>
    <t xml:space="preserve">Not Tested</t>
  </si>
  <si>
    <t xml:space="preserve">UI review + consent audit</t>
  </si>
  <si>
    <t xml:space="preserve">N/A</t>
  </si>
  <si>
    <t xml:space="preserve">Single checkbox still in some flows</t>
  </si>
  <si>
    <t xml:space="preserve">Refactor consent UI to enforce 4-tier model</t>
  </si>
  <si>
    <t xml:space="preserve">RUTH + PAUL</t>
  </si>
  <si>
    <t xml:space="preserve">2026-05-15</t>
  </si>
  <si>
    <t xml:space="preserve">CTRL-005</t>
  </si>
  <si>
    <t xml:space="preserve">AI Confidence Scoring</t>
  </si>
  <si>
    <t xml:space="preserve">Clinical Safety</t>
  </si>
  <si>
    <t xml:space="preserve">AI outputs tagged with confidence score; threshold gates require human review below threshold</t>
  </si>
  <si>
    <t xml:space="preserve">REG-002, AI-001</t>
  </si>
  <si>
    <t xml:space="preserve">Partially Effective</t>
  </si>
  <si>
    <t xml:space="preserve">Clinical validation study</t>
  </si>
  <si>
    <t xml:space="preserve">2026-02-28</t>
  </si>
  <si>
    <t xml:space="preserve">Conditional Pass</t>
  </si>
  <si>
    <t xml:space="preserve">Threshold calibration needed for edge demographics</t>
  </si>
  <si>
    <t xml:space="preserve">Bias audit across demographic groups</t>
  </si>
  <si>
    <t xml:space="preserve">ELENA</t>
  </si>
  <si>
    <t xml:space="preserve">CTRL-006</t>
  </si>
  <si>
    <t xml:space="preserve">LLM Data Anonymization Layer</t>
  </si>
  <si>
    <t xml:space="preserve">PII/PHI stripped or anonymized before transmission to external LLM providers</t>
  </si>
  <si>
    <t xml:space="preserve">DP-001, DP-002</t>
  </si>
  <si>
    <t xml:space="preserve">LGPD Art. 33, HIPAA Privacy Rule</t>
  </si>
  <si>
    <t xml:space="preserve">Data leakage testing</t>
  </si>
  <si>
    <t xml:space="preserve">2026-03-05</t>
  </si>
  <si>
    <t xml:space="preserve">Some clinical context may allow re-identification</t>
  </si>
  <si>
    <t xml:space="preserve">Implement k-anonymity validation; differential privacy analysis</t>
  </si>
  <si>
    <t xml:space="preserve">CTRL-007</t>
  </si>
  <si>
    <t xml:space="preserve">Vendor BAA/DPA Registry</t>
  </si>
  <si>
    <t xml:space="preserve">Third-Party Risk</t>
  </si>
  <si>
    <t xml:space="preserve">Central registry tracking BAA/DPA status with all vendors processing PHI/PII</t>
  </si>
  <si>
    <t xml:space="preserve">CONTRACT-001, DP-002</t>
  </si>
  <si>
    <t xml:space="preserve">HIPAA BAA, LGPD Art. 39-40</t>
  </si>
  <si>
    <t xml:space="preserve">Registry completeness audit</t>
  </si>
  <si>
    <t xml:space="preserve">3 of 8 AI vendors lack executed BAAs</t>
  </si>
  <si>
    <t xml:space="preserve">Execute remaining BAAs; add to vendor onboarding checklist</t>
  </si>
  <si>
    <t xml:space="preserve">RUTH</t>
  </si>
  <si>
    <t xml:space="preserve">CTRL-008</t>
  </si>
  <si>
    <t xml:space="preserve">Incident Response Playbook</t>
  </si>
  <si>
    <t xml:space="preserve">Breach Response</t>
  </si>
  <si>
    <t xml:space="preserve">Documented incident response with roles, notification timelines, and pre-drafted templates</t>
  </si>
  <si>
    <t xml:space="preserve">LGPD Art. 48, HIPAA Breach Notification</t>
  </si>
  <si>
    <t xml:space="preserve">Tabletop exercise</t>
  </si>
  <si>
    <t xml:space="preserve">No tabletop exercise conducted yet</t>
  </si>
  <si>
    <t xml:space="preserve">Schedule quarterly tabletop exercise</t>
  </si>
  <si>
    <t xml:space="preserve">CYRUS + RUTH</t>
  </si>
  <si>
    <t xml:space="preserve">2026-04-30</t>
  </si>
  <si>
    <t xml:space="preserve">CTRL-009</t>
  </si>
  <si>
    <t xml:space="preserve">Clinical Rule Provenance</t>
  </si>
  <si>
    <t xml:space="preserve">All clinical rules tagged with sourceAuthority, citationUrl, evidenceTier metadata</t>
  </si>
  <si>
    <t xml:space="preserve">REG-001, AI-001</t>
  </si>
  <si>
    <t xml:space="preserve">ANVISA RDC 657/2022, IEC 62304</t>
  </si>
  <si>
    <t xml:space="preserve">Automated metadata validation</t>
  </si>
  <si>
    <t xml:space="preserve">2026-03-12</t>
  </si>
  <si>
    <t xml:space="preserve">CTRL-010</t>
  </si>
  <si>
    <t xml:space="preserve">Data Subject Rights Automation</t>
  </si>
  <si>
    <t xml:space="preserve">Privacy Rights</t>
  </si>
  <si>
    <t xml:space="preserve">Automated pipeline for access, portability, and erasure requests with legalBasis field</t>
  </si>
  <si>
    <t xml:space="preserve">LGPD Art. 18, HIPAA Right of Access</t>
  </si>
  <si>
    <t xml:space="preserve">End-to-end request simulation</t>
  </si>
  <si>
    <t xml:space="preserve">Erasure propagation to backups and analytics not verified</t>
  </si>
  <si>
    <t xml:space="preserve">Map full data lineage; implement cryptographic erasure for backup stores</t>
  </si>
  <si>
    <t xml:space="preserve">Response Time</t>
  </si>
  <si>
    <t xml:space="preserve">Escalation Path</t>
  </si>
  <si>
    <t xml:space="preserve">Decision Authority</t>
  </si>
  <si>
    <t xml:space="preserve">Board Notification?</t>
  </si>
  <si>
    <t xml:space="preserve">Insurance Notification?</t>
  </si>
  <si>
    <t xml:space="preserve">Documentation Required</t>
  </si>
  <si>
    <t xml:space="preserve">Example Scenarios</t>
  </si>
  <si>
    <t xml:space="preserve">CRITICAL (16-25)</t>
  </si>
  <si>
    <t xml:space="preserve">Immediate (same day)</t>
  </si>
  <si>
    <t xml:space="preserve">Risk Owner → GC → CEO → Board</t>
  </si>
  <si>
    <t xml:space="preserve">CEO / Board</t>
  </si>
  <si>
    <t xml:space="preserve">Mandatory</t>
  </si>
  <si>
    <t xml:space="preserve">Assess immediately</t>
  </si>
  <si>
    <t xml:space="preserve">Full risk memo + crisis plan + board briefing</t>
  </si>
  <si>
    <t xml:space="preserve">Daily until resolved</t>
  </si>
  <si>
    <t xml:space="preserve">Active PHI breach; ANPD enforcement; government investigation; SaMD recall</t>
  </si>
  <si>
    <t xml:space="preserve">HIGH (10-15)</t>
  </si>
  <si>
    <t xml:space="preserve">Within 48 hours</t>
  </si>
  <si>
    <t xml:space="preserve">Risk Owner → Senior Counsel → GC</t>
  </si>
  <si>
    <t xml:space="preserve">General Counsel</t>
  </si>
  <si>
    <t xml:space="preserve">Strongly recommended</t>
  </si>
  <si>
    <t xml:space="preserve">As needed</t>
  </si>
  <si>
    <t xml:space="preserve">Review coverage</t>
  </si>
  <si>
    <t xml:space="preserve">Risk memo + mitigation plan + contingency</t>
  </si>
  <si>
    <t xml:space="preserve">Weekly</t>
  </si>
  <si>
    <t xml:space="preserve">ANVISA classification dispute; threatened litigation; regulatory audit; uncapped vendor liability</t>
  </si>
  <si>
    <t xml:space="preserve">MEDIUM (5-9)</t>
  </si>
  <si>
    <t xml:space="preserve">Within 1 week</t>
  </si>
  <si>
    <t xml:space="preserve">Risk Owner → Legal Team Lead</t>
  </si>
  <si>
    <t xml:space="preserve">Legal Team Lead</t>
  </si>
  <si>
    <t xml:space="preserve">Risk register entry + stakeholder brief</t>
  </si>
  <si>
    <t xml:space="preserve">DPA gaps with vendors; consent flow deficiency; AI bias detection; regulatory development monitoring</t>
  </si>
  <si>
    <t xml:space="preserve">LOW (1-4)</t>
  </si>
  <si>
    <t xml:space="preserve">Standard workflow</t>
  </si>
  <si>
    <t xml:space="preserve">Risk Owner manages directly</t>
  </si>
  <si>
    <t xml:space="preserve">Risk register entry</t>
  </si>
  <si>
    <t xml:space="preserve">Quarterly / Annually</t>
  </si>
  <si>
    <t xml:space="preserve">Minor NDA deviation; routine compliance task; standard vendor renewal</t>
  </si>
  <si>
    <t xml:space="preserve">RISK SCORING REFERENCE GUIDE</t>
  </si>
  <si>
    <t xml:space="preserve">SEVERITY SCALE</t>
  </si>
  <si>
    <t xml:space="preserve">Label</t>
  </si>
  <si>
    <t xml:space="preserve">Financial Impact</t>
  </si>
  <si>
    <t xml:space="preserve">Negligible</t>
  </si>
  <si>
    <t xml:space="preserve">&lt; 0.1% of deal/contract value</t>
  </si>
  <si>
    <t xml:space="preserve">Minor inconvenience; no material impact; handled within normal operations</t>
  </si>
  <si>
    <t xml:space="preserve">&lt; 1% of relevant value</t>
  </si>
  <si>
    <t xml:space="preserve">Limited impact; minor financial exposure; minor operational disruption</t>
  </si>
  <si>
    <t xml:space="preserve">1-5% of relevant value</t>
  </si>
  <si>
    <t xml:space="preserve">Meaningful impact; material exposure; noticeable disruption; limited public attention possible</t>
  </si>
  <si>
    <t xml:space="preserve">5-25% of relevant value</t>
  </si>
  <si>
    <t xml:space="preserve">Significant impact; substantial exposure; significant disruption; regulatory scrutiny likely</t>
  </si>
  <si>
    <t xml:space="preserve">&gt; 25% of relevant value</t>
  </si>
  <si>
    <t xml:space="preserve">Severe impact; major exposure; fundamental disruption; regulatory action likely; personal liability possible</t>
  </si>
  <si>
    <t xml:space="preserve">LIKELIHOOD SCALE</t>
  </si>
  <si>
    <t xml:space="preserve">Probability</t>
  </si>
  <si>
    <t xml:space="preserve">Remote</t>
  </si>
  <si>
    <t xml:space="preserve">&lt; 5%</t>
  </si>
  <si>
    <t xml:space="preserve">Highly unlikely; no known precedent; would require exceptional circumstances</t>
  </si>
  <si>
    <t xml:space="preserve">Unlikely</t>
  </si>
  <si>
    <t xml:space="preserve">5-20%</t>
  </si>
  <si>
    <t xml:space="preserve">Could occur but not expected; limited precedent; requires specific triggers</t>
  </si>
  <si>
    <t xml:space="preserve">Possible</t>
  </si>
  <si>
    <t xml:space="preserve">20-50%</t>
  </si>
  <si>
    <t xml:space="preserve">May occur; some precedent exists; triggering events foreseeable</t>
  </si>
  <si>
    <t xml:space="preserve">Likely</t>
  </si>
  <si>
    <t xml:space="preserve">50-80%</t>
  </si>
  <si>
    <t xml:space="preserve">Probably will occur; clear precedent; triggering events common</t>
  </si>
  <si>
    <t xml:space="preserve">Almost Certain</t>
  </si>
  <si>
    <t xml:space="preserve">&gt; 80%</t>
  </si>
  <si>
    <t xml:space="preserve">Expected to occur; strong precedent; triggering events present or imminent</t>
  </si>
  <si>
    <t xml:space="preserve">RISK VELOCITY SCALE</t>
  </si>
  <si>
    <t xml:space="preserve">Velocity</t>
  </si>
  <si>
    <t xml:space="preserve">Time to Impact</t>
  </si>
  <si>
    <t xml:space="preserve">&gt; 12 months</t>
  </si>
  <si>
    <t xml:space="preserve">Long lead time; allows for planned response and gradual mitigation</t>
  </si>
  <si>
    <t xml:space="preserve">3-12 months</t>
  </si>
  <si>
    <t xml:space="preserve">Medium lead time; requires proactive planning and resource allocation</t>
  </si>
  <si>
    <t xml:space="preserve">&lt; 3 months</t>
  </si>
  <si>
    <t xml:space="preserve">Short lead time; requires immediate attention and rapid response capability</t>
  </si>
  <si>
    <t xml:space="preserve">DETECTABILITY SCALE (for RPN)</t>
  </si>
  <si>
    <t xml:space="preserve">Almost Certain Detection</t>
  </si>
  <si>
    <t xml:space="preserve">Existing controls will almost certainly detect the risk before impact</t>
  </si>
  <si>
    <t xml:space="preserve">High Detection</t>
  </si>
  <si>
    <t xml:space="preserve">Strong controls; detection is likely with current monitoring</t>
  </si>
  <si>
    <t xml:space="preserve">Moderate Detection</t>
  </si>
  <si>
    <t xml:space="preserve">Some controls exist; detection is possible but not assured</t>
  </si>
  <si>
    <t xml:space="preserve">Low Detection</t>
  </si>
  <si>
    <t xml:space="preserve">Weak controls; risk may materialize without advance warning</t>
  </si>
  <si>
    <t xml:space="preserve">No Detection</t>
  </si>
  <si>
    <t xml:space="preserve">No existing controls; risk will not be detected until impact occurs</t>
  </si>
  <si>
    <t xml:space="preserve">CONTROL EFFECTIVENESS RATINGS</t>
  </si>
  <si>
    <t xml:space="preserve">Rating</t>
  </si>
  <si>
    <t xml:space="preserve">Control is well-designed and operating effectively; risk is significantly reduced</t>
  </si>
  <si>
    <t xml:space="preserve">Control exists but has gaps in design or operation; provides some risk reduction</t>
  </si>
  <si>
    <t xml:space="preserve">Control exists but is largely ineffective; minimal risk reduction</t>
  </si>
  <si>
    <t xml:space="preserve">No control in place; risk is fully unmitigated</t>
  </si>
  <si>
    <t xml:space="preserve">Date</t>
  </si>
  <si>
    <t xml:space="preserve">Action</t>
  </si>
  <si>
    <t xml:space="preserve">Risk/Control ID</t>
  </si>
  <si>
    <t xml:space="preserve">Field Changed</t>
  </si>
  <si>
    <t xml:space="preserve">Previous Value</t>
  </si>
  <si>
    <t xml:space="preserve">New Value</t>
  </si>
  <si>
    <t xml:space="preserve">Changed By</t>
  </si>
  <si>
    <t xml:space="preserve">Rationale</t>
  </si>
  <si>
    <t xml:space="preserve">Created</t>
  </si>
  <si>
    <t xml:space="preserve">ALL</t>
  </si>
  <si>
    <t xml:space="preserve">Initial Assessment</t>
  </si>
  <si>
    <t xml:space="preserve">Initial risk register populated</t>
  </si>
  <si>
    <t xml:space="preserve">Legal Risk Assessment Tool</t>
  </si>
  <si>
    <t xml:space="preserve">Industry-grade risk assessment for holilabsv2 healthcare platform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</si>
</sst>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sz val="11"/>
      <color rgb="FF666666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4"/>
      <color rgb="FF1B2A4A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7B38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F4444"/>
        <bgColor rgb="FFFF8080"/>
      </patternFill>
    </fill>
    <fill>
      <patternFill patternType="solid">
        <fgColor rgb="FFFF8C00"/>
        <bgColor rgb="FFBF8F00"/>
      </patternFill>
    </fill>
    <fill>
      <patternFill patternType="solid">
        <fgColor rgb="FFFFD700"/>
        <bgColor rgb="FFFFFF00"/>
      </patternFill>
    </fill>
    <fill>
      <patternFill patternType="solid">
        <fgColor rgb="FF90EE90"/>
        <bgColor rgb="FFC6EFCE"/>
      </patternFill>
    </fill>
    <fill>
      <patternFill patternType="solid">
        <fgColor rgb="FF1B2A4A"/>
        <bgColor rgb="FF2C3E6B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2C3E6B"/>
        <bgColor rgb="FF404040"/>
      </patternFill>
    </fill>
    <fill>
      <patternFill patternType="solid">
        <fgColor rgb="FFFFC7CE"/>
        <bgColor rgb="FFF4B084"/>
      </patternFill>
    </fill>
    <fill>
      <patternFill patternType="solid">
        <fgColor rgb="FFF4B084"/>
        <bgColor rgb="FFFFC7CE"/>
      </patternFill>
    </fill>
    <fill>
      <patternFill patternType="solid">
        <fgColor rgb="FFFFEB9C"/>
        <bgColor rgb="FFF2F2F2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B38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7B3800"/>
      </font>
      <fill>
        <patternFill>
          <bgColor rgb="FFF4B084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4B084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4B4B4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0EE90"/>
      <rgbColor rgb="FFF4B084"/>
      <rgbColor rgb="FFCC99FF"/>
      <rgbColor rgb="FFFFC7CE"/>
      <rgbColor rgb="FF4472C4"/>
      <rgbColor rgb="FF33CCCC"/>
      <rgbColor rgb="FFBF8F00"/>
      <rgbColor rgb="FFFFD700"/>
      <rgbColor rgb="FFFF8C00"/>
      <rgbColor rgb="FFFF4444"/>
      <rgbColor rgb="FF666666"/>
      <rgbColor rgb="FF999999"/>
      <rgbColor rgb="FF1B2A4A"/>
      <rgbColor rgb="FF548235"/>
      <rgbColor rgb="FF003300"/>
      <rgbColor rgb="FF333300"/>
      <rgbColor rgb="FF7B3800"/>
      <rgbColor rgb="FF993366"/>
      <rgbColor rgb="FF2C3E6B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B5" s="5" t="s">
        <v>4</v>
      </c>
      <c r="C5" s="6" t="s">
        <v>5</v>
      </c>
      <c r="D5" s="7" t="s">
        <v>6</v>
      </c>
      <c r="E5" s="8" t="s">
        <v>7</v>
      </c>
      <c r="F5" s="4" t="s">
        <v>8</v>
      </c>
    </row>
    <row r="6" customFormat="false" ht="29.15" hidden="false" customHeight="false" outlineLevel="0" collapsed="false">
      <c r="A6" s="9" t="n">
        <f aca="false">COUNTA('Risk Register'!A2:A50)</f>
        <v>12</v>
      </c>
      <c r="B6" s="9" t="n">
        <f aca="false">COUNTIF('Risk Register'!L2:L50,"CRITICAL")</f>
        <v>2</v>
      </c>
      <c r="C6" s="9" t="n">
        <f aca="false">COUNTIF('Risk Register'!L2:L50,"HIGH")</f>
        <v>7</v>
      </c>
      <c r="D6" s="9" t="n">
        <f aca="false">COUNTIF('Risk Register'!L2:L50,"MEDIUM")</f>
        <v>3</v>
      </c>
      <c r="E6" s="9" t="n">
        <f aca="false">COUNTIF('Risk Register'!L2:L50,"LOW")</f>
        <v>0</v>
      </c>
      <c r="F6" s="9" t="n">
        <f aca="false">COUNTIF('Risk Register'!X2:X50,"Open")</f>
        <v>11</v>
      </c>
    </row>
    <row r="8" customFormat="false" ht="15" hidden="false" customHeight="false" outlineLevel="0" collapsed="false">
      <c r="A8" s="10" t="s">
        <v>9</v>
      </c>
    </row>
    <row r="9" customFormat="false" ht="26.85" hidden="false" customHeight="false" outlineLevel="0" collapsed="false">
      <c r="A9" s="11" t="s">
        <v>10</v>
      </c>
      <c r="B9" s="11" t="s">
        <v>11</v>
      </c>
      <c r="C9" s="11" t="s">
        <v>12</v>
      </c>
      <c r="D9" s="11" t="s">
        <v>13</v>
      </c>
      <c r="E9" s="11" t="s">
        <v>14</v>
      </c>
    </row>
    <row r="10" customFormat="false" ht="15" hidden="false" customHeight="false" outlineLevel="0" collapsed="false">
      <c r="A10" s="12" t="s">
        <v>15</v>
      </c>
      <c r="B10" s="12" t="n">
        <f aca="false">COUNTIF('Risk Register'!D:D,"Data Privacy")</f>
        <v>3</v>
      </c>
      <c r="C10" s="12" t="n">
        <f aca="false">IFERROR(AVERAGEIF('Risk Register'!D:D,"Data Privacy",'Risk Register'!K:K),0)</f>
        <v>14.6666666666667</v>
      </c>
      <c r="D10" s="12" t="n">
        <f aca="false">IFERROR(maxifs('Risk Register'!K:K,'Risk Register'!D:D,"Data Privacy"),0)</f>
        <v>0</v>
      </c>
      <c r="E10" s="12" t="n">
        <f aca="false">COUNTIFS('Risk Register'!D:D,"Data Privacy",'Risk Register'!L:L,"CRITICAL")+COUNTIFS('Risk Register'!D:D,"Data Privacy",'Risk Register'!L:L,"HIGH")</f>
        <v>2</v>
      </c>
    </row>
    <row r="11" customFormat="false" ht="15" hidden="false" customHeight="false" outlineLevel="0" collapsed="false">
      <c r="A11" s="12" t="s">
        <v>16</v>
      </c>
      <c r="B11" s="12" t="n">
        <f aca="false">COUNTIF('Risk Register'!D:D,"Regulatory")</f>
        <v>3</v>
      </c>
      <c r="C11" s="12" t="n">
        <f aca="false">IFERROR(AVERAGEIF('Risk Register'!D:D,"Regulatory",'Risk Register'!K:K),0)</f>
        <v>12.6666666666667</v>
      </c>
      <c r="D11" s="12" t="n">
        <f aca="false">IFERROR(maxifs('Risk Register'!K:K,'Risk Register'!D:D,"Regulatory"),0)</f>
        <v>0</v>
      </c>
      <c r="E11" s="12" t="n">
        <f aca="false">COUNTIFS('Risk Register'!D:D,"Regulatory",'Risk Register'!L:L,"CRITICAL")+COUNTIFS('Risk Register'!D:D,"Regulatory",'Risk Register'!L:L,"HIGH")</f>
        <v>2</v>
      </c>
    </row>
    <row r="12" customFormat="false" ht="15" hidden="false" customHeight="false" outlineLevel="0" collapsed="false">
      <c r="A12" s="12" t="s">
        <v>17</v>
      </c>
      <c r="B12" s="12" t="n">
        <f aca="false">COUNTIF('Risk Register'!D:D,"Security")</f>
        <v>2</v>
      </c>
      <c r="C12" s="12" t="n">
        <f aca="false">IFERROR(AVERAGEIF('Risk Register'!D:D,"Security",'Risk Register'!K:K),0)</f>
        <v>9</v>
      </c>
      <c r="D12" s="12" t="n">
        <f aca="false">IFERROR(maxifs('Risk Register'!K:K,'Risk Register'!D:D,"Security"),0)</f>
        <v>0</v>
      </c>
      <c r="E12" s="12" t="n">
        <f aca="false">COUNTIFS('Risk Register'!D:D,"Security",'Risk Register'!L:L,"CRITICAL")+COUNTIFS('Risk Register'!D:D,"Security",'Risk Register'!L:L,"HIGH")</f>
        <v>1</v>
      </c>
    </row>
    <row r="13" customFormat="false" ht="15" hidden="false" customHeight="false" outlineLevel="0" collapsed="false">
      <c r="A13" s="12" t="s">
        <v>18</v>
      </c>
      <c r="B13" s="12" t="n">
        <f aca="false">COUNTIF('Risk Register'!D:D,"Data Breach")</f>
        <v>1</v>
      </c>
      <c r="C13" s="12" t="n">
        <f aca="false">IFERROR(AVERAGEIF('Risk Register'!D:D,"Data Breach",'Risk Register'!K:K),0)</f>
        <v>15</v>
      </c>
      <c r="D13" s="12" t="n">
        <f aca="false">IFERROR(maxifs('Risk Register'!K:K,'Risk Register'!D:D,"Data Breach"),0)</f>
        <v>0</v>
      </c>
      <c r="E13" s="12" t="n">
        <f aca="false">COUNTIFS('Risk Register'!D:D,"Data Breach",'Risk Register'!L:L,"CRITICAL")+COUNTIFS('Risk Register'!D:D,"Data Breach",'Risk Register'!L:L,"HIGH")</f>
        <v>1</v>
      </c>
    </row>
    <row r="14" customFormat="false" ht="15" hidden="false" customHeight="false" outlineLevel="0" collapsed="false">
      <c r="A14" s="12" t="s">
        <v>19</v>
      </c>
      <c r="B14" s="12" t="n">
        <f aca="false">COUNTIF('Risk Register'!D:D,"Consent")</f>
        <v>1</v>
      </c>
      <c r="C14" s="12" t="n">
        <f aca="false">IFERROR(AVERAGEIF('Risk Register'!D:D,"Consent",'Risk Register'!K:K),0)</f>
        <v>12</v>
      </c>
      <c r="D14" s="12" t="n">
        <f aca="false">IFERROR(maxifs('Risk Register'!K:K,'Risk Register'!D:D,"Consent"),0)</f>
        <v>0</v>
      </c>
      <c r="E14" s="12" t="n">
        <f aca="false">COUNTIFS('Risk Register'!D:D,"Consent",'Risk Register'!L:L,"CRITICAL")+COUNTIFS('Risk Register'!D:D,"Consent",'Risk Register'!L:L,"HIGH")</f>
        <v>1</v>
      </c>
    </row>
    <row r="15" customFormat="false" ht="15" hidden="false" customHeight="false" outlineLevel="0" collapsed="false">
      <c r="A15" s="12" t="s">
        <v>20</v>
      </c>
      <c r="B15" s="12" t="n">
        <f aca="false">COUNTIF('Risk Register'!D:D,"AI Ethics")</f>
        <v>1</v>
      </c>
      <c r="C15" s="12" t="n">
        <f aca="false">IFERROR(AVERAGEIF('Risk Register'!D:D,"AI Ethics",'Risk Register'!K:K),0)</f>
        <v>12</v>
      </c>
      <c r="D15" s="12" t="n">
        <f aca="false">IFERROR(maxifs('Risk Register'!K:K,'Risk Register'!D:D,"AI Ethics"),0)</f>
        <v>0</v>
      </c>
      <c r="E15" s="12" t="n">
        <f aca="false">COUNTIFS('Risk Register'!D:D,"AI Ethics",'Risk Register'!L:L,"CRITICAL")+COUNTIFS('Risk Register'!D:D,"AI Ethics",'Risk Register'!L:L,"HIGH")</f>
        <v>1</v>
      </c>
    </row>
    <row r="16" customFormat="false" ht="15" hidden="false" customHeight="false" outlineLevel="0" collapsed="false">
      <c r="A16" s="12" t="s">
        <v>21</v>
      </c>
      <c r="B16" s="12" t="n">
        <f aca="false">COUNTIF('Risk Register'!D:D,"Contract")</f>
        <v>1</v>
      </c>
      <c r="C16" s="12" t="n">
        <f aca="false">IFERROR(AVERAGEIF('Risk Register'!D:D,"Contract",'Risk Register'!K:K),0)</f>
        <v>12</v>
      </c>
      <c r="D16" s="12" t="n">
        <f aca="false">IFERROR(maxifs('Risk Register'!K:K,'Risk Register'!D:D,"Contract"),0)</f>
        <v>0</v>
      </c>
      <c r="E16" s="12" t="n">
        <f aca="false">COUNTIFS('Risk Register'!D:D,"Contract",'Risk Register'!L:L,"CRITICAL")+COUNTIFS('Risk Register'!D:D,"Contract",'Risk Register'!L:L,"HIGH")</f>
        <v>1</v>
      </c>
    </row>
    <row r="19" customFormat="false" ht="15" hidden="false" customHeight="false" outlineLevel="0" collapsed="false">
      <c r="A19" s="10" t="s">
        <v>22</v>
      </c>
    </row>
    <row r="20" customFormat="false" ht="15" hidden="false" customHeight="false" outlineLevel="0" collapsed="false">
      <c r="A20" s="11" t="s">
        <v>23</v>
      </c>
      <c r="B20" s="11" t="s">
        <v>11</v>
      </c>
    </row>
    <row r="21" customFormat="false" ht="15" hidden="false" customHeight="false" outlineLevel="0" collapsed="false">
      <c r="A21" s="12" t="s">
        <v>24</v>
      </c>
      <c r="B21" s="12" t="n">
        <f aca="false">COUNTIF('Regulatory Mapping'!G:G,"Strong")</f>
        <v>1</v>
      </c>
    </row>
    <row r="22" customFormat="false" ht="15" hidden="false" customHeight="false" outlineLevel="0" collapsed="false">
      <c r="A22" s="12" t="s">
        <v>25</v>
      </c>
      <c r="B22" s="12" t="n">
        <f aca="false">COUNTIF('Regulatory Mapping'!G:G,"In Progress")</f>
        <v>1</v>
      </c>
    </row>
    <row r="23" customFormat="false" ht="15" hidden="false" customHeight="false" outlineLevel="0" collapsed="false">
      <c r="A23" s="12" t="s">
        <v>26</v>
      </c>
      <c r="B23" s="12" t="n">
        <f aca="false">COUNTIF('Regulatory Mapping'!G:G,"Partial")</f>
        <v>3</v>
      </c>
    </row>
    <row r="24" customFormat="false" ht="15" hidden="false" customHeight="false" outlineLevel="0" collapsed="false">
      <c r="A24" s="12" t="s">
        <v>27</v>
      </c>
      <c r="B24" s="12" t="n">
        <f aca="false">COUNTIF('Regulatory Mapping'!G:G,"Gap")</f>
        <v>4</v>
      </c>
    </row>
    <row r="25" customFormat="false" ht="15" hidden="false" customHeight="false" outlineLevel="0" collapsed="false">
      <c r="A25" s="12" t="s">
        <v>28</v>
      </c>
      <c r="B25" s="12" t="n">
        <f aca="false">COUNTIF('Regulatory Mapping'!G:G,"Not Started")</f>
        <v>1</v>
      </c>
    </row>
    <row r="28" customFormat="false" ht="15" hidden="false" customHeight="false" outlineLevel="0" collapsed="false">
      <c r="A28" s="13" t="s">
        <v>29</v>
      </c>
      <c r="B28" s="13"/>
      <c r="C28" s="13"/>
      <c r="D28" s="13"/>
      <c r="E28" s="13"/>
      <c r="F28" s="13"/>
    </row>
    <row r="29" customFormat="false" ht="15" hidden="false" customHeight="false" outlineLevel="0" collapsed="false">
      <c r="A29" s="14" t="s">
        <v>30</v>
      </c>
      <c r="B29" s="14"/>
      <c r="C29" s="14"/>
      <c r="D29" s="14"/>
      <c r="E29" s="14"/>
      <c r="F29" s="14"/>
    </row>
    <row r="30" customFormat="false" ht="15" hidden="false" customHeight="false" outlineLevel="0" collapsed="false">
      <c r="A30" s="14" t="s">
        <v>31</v>
      </c>
      <c r="B30" s="14"/>
      <c r="C30" s="14"/>
      <c r="D30" s="14"/>
      <c r="E30" s="14"/>
      <c r="F30" s="14"/>
    </row>
    <row r="31" customFormat="false" ht="15" hidden="false" customHeight="false" outlineLevel="0" collapsed="false">
      <c r="A31" s="14" t="s">
        <v>32</v>
      </c>
      <c r="B31" s="14"/>
      <c r="C31" s="14"/>
      <c r="D31" s="14"/>
      <c r="E31" s="14"/>
      <c r="F31" s="14"/>
    </row>
    <row r="32" customFormat="false" ht="15" hidden="false" customHeight="false" outlineLevel="0" collapsed="false">
      <c r="A32" s="14" t="s">
        <v>33</v>
      </c>
      <c r="B32" s="14"/>
      <c r="C32" s="14"/>
      <c r="D32" s="14"/>
      <c r="E32" s="14"/>
      <c r="F32" s="14"/>
    </row>
    <row r="33" customFormat="false" ht="15" hidden="false" customHeight="false" outlineLevel="0" collapsed="false">
      <c r="A33" s="14" t="s">
        <v>34</v>
      </c>
      <c r="B33" s="14"/>
      <c r="C33" s="14"/>
      <c r="D33" s="14"/>
      <c r="E33" s="14"/>
      <c r="F33" s="14"/>
    </row>
    <row r="34" customFormat="false" ht="15" hidden="false" customHeight="false" outlineLevel="0" collapsed="false">
      <c r="A34" s="14" t="s">
        <v>35</v>
      </c>
      <c r="B34" s="14"/>
      <c r="C34" s="14"/>
      <c r="D34" s="14"/>
      <c r="E34" s="14"/>
      <c r="F34" s="14"/>
    </row>
    <row r="35" customFormat="false" ht="15" hidden="false" customHeight="false" outlineLevel="0" collapsed="false">
      <c r="A35" s="14" t="s">
        <v>36</v>
      </c>
      <c r="B35" s="14"/>
      <c r="C35" s="14"/>
      <c r="D35" s="14"/>
      <c r="E35" s="14"/>
      <c r="F35" s="14"/>
    </row>
  </sheetData>
  <mergeCells count="11">
    <mergeCell ref="A1:F1"/>
    <mergeCell ref="A2:F2"/>
    <mergeCell ref="A3:F3"/>
    <mergeCell ref="A28:F28"/>
    <mergeCell ref="A29:F29"/>
    <mergeCell ref="A30:F30"/>
    <mergeCell ref="A31:F31"/>
    <mergeCell ref="A32:F32"/>
    <mergeCell ref="A33:F33"/>
    <mergeCell ref="A34:F34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55"/>
    <col collapsed="false" customWidth="true" hidden="false" outlineLevel="0" max="7" min="7" style="0" width="35"/>
    <col collapsed="false" customWidth="true" hidden="false" outlineLevel="0" max="8" min="8" style="0" width="18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2"/>
    <col collapsed="false" customWidth="true" hidden="false" outlineLevel="0" max="20" min="20" style="0" width="13"/>
    <col collapsed="false" customWidth="true" hidden="false" outlineLevel="0" max="21" min="21" style="0" width="18"/>
    <col collapsed="false" customWidth="true" hidden="false" outlineLevel="0" max="22" min="22" style="0" width="40"/>
    <col collapsed="false" customWidth="true" hidden="false" outlineLevel="0" max="23" min="23" style="0" width="45"/>
    <col collapsed="false" customWidth="true" hidden="false" outlineLevel="0" max="24" min="24" style="0" width="12"/>
    <col collapsed="false" customWidth="true" hidden="false" outlineLevel="0" max="29" min="25" style="0" width="14"/>
    <col collapsed="false" customWidth="true" hidden="false" outlineLevel="0" max="30" min="30" style="0" width="35"/>
  </cols>
  <sheetData>
    <row r="1" customFormat="false" ht="39.55" hidden="false" customHeight="false" outlineLevel="0" collapsed="false">
      <c r="A1" s="11" t="s">
        <v>37</v>
      </c>
      <c r="B1" s="11" t="s">
        <v>38</v>
      </c>
      <c r="C1" s="11" t="s">
        <v>39</v>
      </c>
      <c r="D1" s="11" t="s">
        <v>10</v>
      </c>
      <c r="E1" s="11" t="s">
        <v>40</v>
      </c>
      <c r="F1" s="11" t="s">
        <v>41</v>
      </c>
      <c r="G1" s="11" t="s">
        <v>42</v>
      </c>
      <c r="H1" s="11" t="s">
        <v>43</v>
      </c>
      <c r="I1" s="11" t="s">
        <v>44</v>
      </c>
      <c r="J1" s="11" t="s">
        <v>45</v>
      </c>
      <c r="K1" s="11" t="s">
        <v>46</v>
      </c>
      <c r="L1" s="11" t="s">
        <v>47</v>
      </c>
      <c r="M1" s="11" t="s">
        <v>48</v>
      </c>
      <c r="N1" s="11" t="s">
        <v>49</v>
      </c>
      <c r="O1" s="11" t="s">
        <v>50</v>
      </c>
      <c r="P1" s="11" t="s">
        <v>51</v>
      </c>
      <c r="Q1" s="11" t="s">
        <v>52</v>
      </c>
      <c r="R1" s="11" t="s">
        <v>53</v>
      </c>
      <c r="S1" s="11" t="s">
        <v>54</v>
      </c>
      <c r="T1" s="11" t="s">
        <v>55</v>
      </c>
      <c r="U1" s="11" t="s">
        <v>56</v>
      </c>
      <c r="V1" s="11" t="s">
        <v>57</v>
      </c>
      <c r="W1" s="11" t="s">
        <v>58</v>
      </c>
      <c r="X1" s="11" t="s">
        <v>23</v>
      </c>
      <c r="Y1" s="11" t="s">
        <v>59</v>
      </c>
      <c r="Z1" s="11" t="s">
        <v>60</v>
      </c>
      <c r="AA1" s="11" t="s">
        <v>61</v>
      </c>
      <c r="AB1" s="11" t="s">
        <v>62</v>
      </c>
      <c r="AC1" s="11" t="s">
        <v>63</v>
      </c>
      <c r="AD1" s="11" t="s">
        <v>64</v>
      </c>
    </row>
    <row r="2" customFormat="false" ht="23.85" hidden="false" customHeight="false" outlineLevel="0" collapsed="false">
      <c r="A2" s="15" t="s">
        <v>65</v>
      </c>
      <c r="B2" s="15" t="s">
        <v>66</v>
      </c>
      <c r="C2" s="15" t="s">
        <v>66</v>
      </c>
      <c r="D2" s="16" t="s">
        <v>15</v>
      </c>
      <c r="E2" s="16" t="s">
        <v>67</v>
      </c>
      <c r="F2" s="16" t="s">
        <v>68</v>
      </c>
      <c r="G2" s="16" t="s">
        <v>69</v>
      </c>
      <c r="H2" s="16" t="s">
        <v>70</v>
      </c>
      <c r="I2" s="15" t="n">
        <v>5</v>
      </c>
      <c r="J2" s="15" t="n">
        <v>4</v>
      </c>
      <c r="K2" s="15" t="n">
        <f aca="false">I2*J2</f>
        <v>20</v>
      </c>
      <c r="L2" s="15" t="str">
        <f aca="false">IF(K2&gt;=16,"CRITICAL",IF(K2&gt;=10,"HIGH",IF(K2&gt;=5,"MEDIUM","LOW")))</f>
        <v>CRITICAL</v>
      </c>
      <c r="M2" s="15" t="s">
        <v>71</v>
      </c>
      <c r="N2" s="15" t="n">
        <v>3</v>
      </c>
      <c r="O2" s="15" t="n">
        <f aca="false">I2*J2*N2</f>
        <v>60</v>
      </c>
      <c r="P2" s="15" t="s">
        <v>26</v>
      </c>
      <c r="Q2" s="15" t="n">
        <v>4</v>
      </c>
      <c r="R2" s="15" t="n">
        <v>3</v>
      </c>
      <c r="S2" s="15" t="n">
        <f aca="false">Q2*R2</f>
        <v>12</v>
      </c>
      <c r="T2" s="15" t="str">
        <f aca="false">IF(S2&gt;=16,"CRITICAL",IF(S2&gt;=10,"HIGH",IF(S2&gt;=5,"MEDIUM","LOW")))</f>
        <v>HIGH</v>
      </c>
      <c r="U2" s="16" t="s">
        <v>72</v>
      </c>
      <c r="V2" s="16" t="s">
        <v>73</v>
      </c>
      <c r="W2" s="16" t="s">
        <v>74</v>
      </c>
      <c r="X2" s="15" t="s">
        <v>8</v>
      </c>
      <c r="Y2" s="15" t="s">
        <v>75</v>
      </c>
      <c r="Z2" s="16" t="s">
        <v>76</v>
      </c>
      <c r="AA2" s="15" t="s">
        <v>77</v>
      </c>
      <c r="AB2" s="15" t="s">
        <v>77</v>
      </c>
      <c r="AC2" s="15" t="s">
        <v>78</v>
      </c>
      <c r="AD2" s="16" t="s">
        <v>79</v>
      </c>
    </row>
    <row r="3" customFormat="false" ht="23.85" hidden="false" customHeight="false" outlineLevel="0" collapsed="false">
      <c r="A3" s="17" t="s">
        <v>80</v>
      </c>
      <c r="B3" s="17" t="s">
        <v>66</v>
      </c>
      <c r="C3" s="17" t="s">
        <v>66</v>
      </c>
      <c r="D3" s="18" t="s">
        <v>15</v>
      </c>
      <c r="E3" s="18" t="s">
        <v>81</v>
      </c>
      <c r="F3" s="18" t="s">
        <v>82</v>
      </c>
      <c r="G3" s="18" t="s">
        <v>83</v>
      </c>
      <c r="H3" s="18" t="s">
        <v>84</v>
      </c>
      <c r="I3" s="17" t="n">
        <v>5</v>
      </c>
      <c r="J3" s="17" t="n">
        <v>3</v>
      </c>
      <c r="K3" s="17" t="n">
        <f aca="false">I3*J3</f>
        <v>15</v>
      </c>
      <c r="L3" s="17" t="str">
        <f aca="false">IF(K3&gt;=16,"CRITICAL",IF(K3&gt;=10,"HIGH",IF(K3&gt;=5,"MEDIUM","LOW")))</f>
        <v>HIGH</v>
      </c>
      <c r="M3" s="17" t="s">
        <v>71</v>
      </c>
      <c r="N3" s="17" t="n">
        <v>2</v>
      </c>
      <c r="O3" s="17" t="n">
        <f aca="false">I3*J3*N3</f>
        <v>30</v>
      </c>
      <c r="P3" s="17" t="s">
        <v>85</v>
      </c>
      <c r="Q3" s="17" t="n">
        <v>4</v>
      </c>
      <c r="R3" s="17" t="n">
        <v>2</v>
      </c>
      <c r="S3" s="17" t="n">
        <f aca="false">Q3*R3</f>
        <v>8</v>
      </c>
      <c r="T3" s="17" t="str">
        <f aca="false">IF(S3&gt;=16,"CRITICAL",IF(S3&gt;=10,"HIGH",IF(S3&gt;=5,"MEDIUM","LOW")))</f>
        <v>MEDIUM</v>
      </c>
      <c r="U3" s="18" t="s">
        <v>86</v>
      </c>
      <c r="V3" s="18" t="s">
        <v>87</v>
      </c>
      <c r="W3" s="18" t="s">
        <v>88</v>
      </c>
      <c r="X3" s="17" t="s">
        <v>8</v>
      </c>
      <c r="Y3" s="17" t="s">
        <v>75</v>
      </c>
      <c r="Z3" s="18" t="s">
        <v>76</v>
      </c>
      <c r="AA3" s="17" t="s">
        <v>77</v>
      </c>
      <c r="AB3" s="17" t="s">
        <v>77</v>
      </c>
      <c r="AC3" s="17" t="s">
        <v>77</v>
      </c>
      <c r="AD3" s="18" t="s">
        <v>89</v>
      </c>
    </row>
    <row r="4" customFormat="false" ht="35.05" hidden="false" customHeight="false" outlineLevel="0" collapsed="false">
      <c r="A4" s="15" t="s">
        <v>90</v>
      </c>
      <c r="B4" s="15" t="s">
        <v>66</v>
      </c>
      <c r="C4" s="15" t="s">
        <v>66</v>
      </c>
      <c r="D4" s="16" t="s">
        <v>16</v>
      </c>
      <c r="E4" s="16" t="s">
        <v>91</v>
      </c>
      <c r="F4" s="16" t="s">
        <v>92</v>
      </c>
      <c r="G4" s="16" t="s">
        <v>93</v>
      </c>
      <c r="H4" s="16" t="s">
        <v>94</v>
      </c>
      <c r="I4" s="15" t="n">
        <v>5</v>
      </c>
      <c r="J4" s="15" t="n">
        <v>4</v>
      </c>
      <c r="K4" s="15" t="n">
        <f aca="false">I4*J4</f>
        <v>20</v>
      </c>
      <c r="L4" s="15" t="str">
        <f aca="false">IF(K4&gt;=16,"CRITICAL",IF(K4&gt;=10,"HIGH",IF(K4&gt;=5,"MEDIUM","LOW")))</f>
        <v>CRITICAL</v>
      </c>
      <c r="M4" s="15" t="s">
        <v>95</v>
      </c>
      <c r="N4" s="15" t="n">
        <v>3</v>
      </c>
      <c r="O4" s="15" t="n">
        <f aca="false">I4*J4*N4</f>
        <v>60</v>
      </c>
      <c r="P4" s="15" t="s">
        <v>26</v>
      </c>
      <c r="Q4" s="15" t="n">
        <v>4</v>
      </c>
      <c r="R4" s="15" t="n">
        <v>3</v>
      </c>
      <c r="S4" s="15" t="n">
        <f aca="false">Q4*R4</f>
        <v>12</v>
      </c>
      <c r="T4" s="15" t="str">
        <f aca="false">IF(S4&gt;=16,"CRITICAL",IF(S4&gt;=10,"HIGH",IF(S4&gt;=5,"MEDIUM","LOW")))</f>
        <v>HIGH</v>
      </c>
      <c r="U4" s="16" t="s">
        <v>96</v>
      </c>
      <c r="V4" s="16" t="s">
        <v>97</v>
      </c>
      <c r="W4" s="16" t="s">
        <v>98</v>
      </c>
      <c r="X4" s="15" t="s">
        <v>8</v>
      </c>
      <c r="Y4" s="15" t="s">
        <v>99</v>
      </c>
      <c r="Z4" s="16" t="s">
        <v>100</v>
      </c>
      <c r="AA4" s="15" t="s">
        <v>77</v>
      </c>
      <c r="AB4" s="15" t="s">
        <v>77</v>
      </c>
      <c r="AC4" s="15" t="s">
        <v>77</v>
      </c>
      <c r="AD4" s="16" t="s">
        <v>101</v>
      </c>
    </row>
    <row r="5" customFormat="false" ht="23.85" hidden="false" customHeight="false" outlineLevel="0" collapsed="false">
      <c r="A5" s="17" t="s">
        <v>102</v>
      </c>
      <c r="B5" s="17" t="s">
        <v>66</v>
      </c>
      <c r="C5" s="17" t="s">
        <v>66</v>
      </c>
      <c r="D5" s="18" t="s">
        <v>16</v>
      </c>
      <c r="E5" s="18" t="s">
        <v>103</v>
      </c>
      <c r="F5" s="18" t="s">
        <v>104</v>
      </c>
      <c r="G5" s="18" t="s">
        <v>105</v>
      </c>
      <c r="H5" s="18" t="s">
        <v>70</v>
      </c>
      <c r="I5" s="17" t="n">
        <v>4</v>
      </c>
      <c r="J5" s="17" t="n">
        <v>3</v>
      </c>
      <c r="K5" s="17" t="n">
        <f aca="false">I5*J5</f>
        <v>12</v>
      </c>
      <c r="L5" s="17" t="str">
        <f aca="false">IF(K5&gt;=16,"CRITICAL",IF(K5&gt;=10,"HIGH",IF(K5&gt;=5,"MEDIUM","LOW")))</f>
        <v>HIGH</v>
      </c>
      <c r="M5" s="17" t="s">
        <v>95</v>
      </c>
      <c r="N5" s="17" t="n">
        <v>3</v>
      </c>
      <c r="O5" s="17" t="n">
        <f aca="false">I5*J5*N5</f>
        <v>36</v>
      </c>
      <c r="P5" s="17" t="s">
        <v>26</v>
      </c>
      <c r="Q5" s="17" t="n">
        <v>3</v>
      </c>
      <c r="R5" s="17" t="n">
        <v>2</v>
      </c>
      <c r="S5" s="17" t="n">
        <f aca="false">Q5*R5</f>
        <v>6</v>
      </c>
      <c r="T5" s="17" t="str">
        <f aca="false">IF(S5&gt;=16,"CRITICAL",IF(S5&gt;=10,"HIGH",IF(S5&gt;=5,"MEDIUM","LOW")))</f>
        <v>MEDIUM</v>
      </c>
      <c r="U5" s="18" t="s">
        <v>106</v>
      </c>
      <c r="V5" s="18" t="s">
        <v>107</v>
      </c>
      <c r="W5" s="18" t="s">
        <v>108</v>
      </c>
      <c r="X5" s="17" t="s">
        <v>8</v>
      </c>
      <c r="Y5" s="17" t="s">
        <v>75</v>
      </c>
      <c r="Z5" s="18" t="s">
        <v>76</v>
      </c>
      <c r="AA5" s="17" t="s">
        <v>77</v>
      </c>
      <c r="AB5" s="17" t="s">
        <v>109</v>
      </c>
      <c r="AC5" s="17" t="s">
        <v>78</v>
      </c>
      <c r="AD5" s="18" t="s">
        <v>110</v>
      </c>
    </row>
    <row r="6" customFormat="false" ht="35.05" hidden="false" customHeight="false" outlineLevel="0" collapsed="false">
      <c r="A6" s="15" t="s">
        <v>111</v>
      </c>
      <c r="B6" s="15" t="s">
        <v>66</v>
      </c>
      <c r="C6" s="15" t="s">
        <v>66</v>
      </c>
      <c r="D6" s="16" t="s">
        <v>17</v>
      </c>
      <c r="E6" s="16" t="s">
        <v>112</v>
      </c>
      <c r="F6" s="16" t="s">
        <v>113</v>
      </c>
      <c r="G6" s="16" t="s">
        <v>114</v>
      </c>
      <c r="H6" s="16" t="s">
        <v>115</v>
      </c>
      <c r="I6" s="15" t="n">
        <v>5</v>
      </c>
      <c r="J6" s="15" t="n">
        <v>2</v>
      </c>
      <c r="K6" s="15" t="n">
        <f aca="false">I6*J6</f>
        <v>10</v>
      </c>
      <c r="L6" s="15" t="str">
        <f aca="false">IF(K6&gt;=16,"CRITICAL",IF(K6&gt;=10,"HIGH",IF(K6&gt;=5,"MEDIUM","LOW")))</f>
        <v>HIGH</v>
      </c>
      <c r="M6" s="15" t="s">
        <v>71</v>
      </c>
      <c r="N6" s="15" t="n">
        <v>2</v>
      </c>
      <c r="O6" s="15" t="n">
        <f aca="false">I6*J6*N6</f>
        <v>20</v>
      </c>
      <c r="P6" s="15" t="s">
        <v>24</v>
      </c>
      <c r="Q6" s="15" t="n">
        <v>4</v>
      </c>
      <c r="R6" s="15" t="n">
        <v>1</v>
      </c>
      <c r="S6" s="15" t="n">
        <f aca="false">Q6*R6</f>
        <v>4</v>
      </c>
      <c r="T6" s="15" t="str">
        <f aca="false">IF(S6&gt;=16,"CRITICAL",IF(S6&gt;=10,"HIGH",IF(S6&gt;=5,"MEDIUM","LOW")))</f>
        <v>LOW</v>
      </c>
      <c r="U6" s="16" t="s">
        <v>86</v>
      </c>
      <c r="V6" s="16" t="s">
        <v>116</v>
      </c>
      <c r="W6" s="16" t="s">
        <v>117</v>
      </c>
      <c r="X6" s="15" t="s">
        <v>8</v>
      </c>
      <c r="Y6" s="15" t="s">
        <v>118</v>
      </c>
      <c r="Z6" s="16" t="s">
        <v>119</v>
      </c>
      <c r="AA6" s="15" t="s">
        <v>78</v>
      </c>
      <c r="AB6" s="15" t="s">
        <v>78</v>
      </c>
      <c r="AC6" s="15" t="s">
        <v>78</v>
      </c>
      <c r="AD6" s="16"/>
    </row>
    <row r="7" customFormat="false" ht="23.85" hidden="false" customHeight="false" outlineLevel="0" collapsed="false">
      <c r="A7" s="17" t="s">
        <v>120</v>
      </c>
      <c r="B7" s="17" t="s">
        <v>66</v>
      </c>
      <c r="C7" s="17" t="s">
        <v>66</v>
      </c>
      <c r="D7" s="18" t="s">
        <v>17</v>
      </c>
      <c r="E7" s="18" t="s">
        <v>121</v>
      </c>
      <c r="F7" s="18" t="s">
        <v>122</v>
      </c>
      <c r="G7" s="18" t="s">
        <v>123</v>
      </c>
      <c r="H7" s="18" t="s">
        <v>115</v>
      </c>
      <c r="I7" s="17" t="n">
        <v>4</v>
      </c>
      <c r="J7" s="17" t="n">
        <v>2</v>
      </c>
      <c r="K7" s="17" t="n">
        <f aca="false">I7*J7</f>
        <v>8</v>
      </c>
      <c r="L7" s="17" t="str">
        <f aca="false">IF(K7&gt;=16,"CRITICAL",IF(K7&gt;=10,"HIGH",IF(K7&gt;=5,"MEDIUM","LOW")))</f>
        <v>MEDIUM</v>
      </c>
      <c r="M7" s="17" t="s">
        <v>124</v>
      </c>
      <c r="N7" s="17" t="n">
        <v>2</v>
      </c>
      <c r="O7" s="17" t="n">
        <f aca="false">I7*J7*N7</f>
        <v>16</v>
      </c>
      <c r="P7" s="17" t="s">
        <v>24</v>
      </c>
      <c r="Q7" s="17" t="n">
        <v>3</v>
      </c>
      <c r="R7" s="17" t="n">
        <v>1</v>
      </c>
      <c r="S7" s="17" t="n">
        <f aca="false">Q7*R7</f>
        <v>3</v>
      </c>
      <c r="T7" s="17" t="str">
        <f aca="false">IF(S7&gt;=16,"CRITICAL",IF(S7&gt;=10,"HIGH",IF(S7&gt;=5,"MEDIUM","LOW")))</f>
        <v>LOW</v>
      </c>
      <c r="U7" s="18" t="s">
        <v>86</v>
      </c>
      <c r="V7" s="18" t="s">
        <v>125</v>
      </c>
      <c r="W7" s="18" t="s">
        <v>126</v>
      </c>
      <c r="X7" s="17" t="s">
        <v>127</v>
      </c>
      <c r="Y7" s="17" t="s">
        <v>118</v>
      </c>
      <c r="Z7" s="18" t="s">
        <v>119</v>
      </c>
      <c r="AA7" s="17" t="s">
        <v>78</v>
      </c>
      <c r="AB7" s="17" t="s">
        <v>78</v>
      </c>
      <c r="AC7" s="17" t="s">
        <v>78</v>
      </c>
      <c r="AD7" s="18"/>
    </row>
    <row r="8" customFormat="false" ht="23.85" hidden="false" customHeight="false" outlineLevel="0" collapsed="false">
      <c r="A8" s="15" t="s">
        <v>128</v>
      </c>
      <c r="B8" s="15" t="s">
        <v>66</v>
      </c>
      <c r="C8" s="15" t="s">
        <v>66</v>
      </c>
      <c r="D8" s="16" t="s">
        <v>18</v>
      </c>
      <c r="E8" s="16" t="s">
        <v>129</v>
      </c>
      <c r="F8" s="16" t="s">
        <v>130</v>
      </c>
      <c r="G8" s="16" t="s">
        <v>131</v>
      </c>
      <c r="H8" s="16" t="s">
        <v>115</v>
      </c>
      <c r="I8" s="15" t="n">
        <v>5</v>
      </c>
      <c r="J8" s="15" t="n">
        <v>3</v>
      </c>
      <c r="K8" s="15" t="n">
        <f aca="false">I8*J8</f>
        <v>15</v>
      </c>
      <c r="L8" s="15" t="str">
        <f aca="false">IF(K8&gt;=16,"CRITICAL",IF(K8&gt;=10,"HIGH",IF(K8&gt;=5,"MEDIUM","LOW")))</f>
        <v>HIGH</v>
      </c>
      <c r="M8" s="15" t="s">
        <v>71</v>
      </c>
      <c r="N8" s="15" t="n">
        <v>3</v>
      </c>
      <c r="O8" s="15" t="n">
        <f aca="false">I8*J8*N8</f>
        <v>45</v>
      </c>
      <c r="P8" s="15" t="s">
        <v>26</v>
      </c>
      <c r="Q8" s="15" t="n">
        <v>4</v>
      </c>
      <c r="R8" s="15" t="n">
        <v>2</v>
      </c>
      <c r="S8" s="15" t="n">
        <f aca="false">Q8*R8</f>
        <v>8</v>
      </c>
      <c r="T8" s="15" t="str">
        <f aca="false">IF(S8&gt;=16,"CRITICAL",IF(S8&gt;=10,"HIGH",IF(S8&gt;=5,"MEDIUM","LOW")))</f>
        <v>MEDIUM</v>
      </c>
      <c r="U8" s="16" t="s">
        <v>132</v>
      </c>
      <c r="V8" s="16" t="s">
        <v>133</v>
      </c>
      <c r="W8" s="16" t="s">
        <v>134</v>
      </c>
      <c r="X8" s="15" t="s">
        <v>8</v>
      </c>
      <c r="Y8" s="15" t="s">
        <v>118</v>
      </c>
      <c r="Z8" s="16" t="s">
        <v>119</v>
      </c>
      <c r="AA8" s="15" t="s">
        <v>77</v>
      </c>
      <c r="AB8" s="15" t="s">
        <v>77</v>
      </c>
      <c r="AC8" s="15" t="s">
        <v>77</v>
      </c>
      <c r="AD8" s="16" t="s">
        <v>135</v>
      </c>
    </row>
    <row r="9" customFormat="false" ht="35.05" hidden="false" customHeight="false" outlineLevel="0" collapsed="false">
      <c r="A9" s="17" t="s">
        <v>136</v>
      </c>
      <c r="B9" s="17" t="s">
        <v>66</v>
      </c>
      <c r="C9" s="17" t="s">
        <v>66</v>
      </c>
      <c r="D9" s="18" t="s">
        <v>19</v>
      </c>
      <c r="E9" s="18" t="s">
        <v>137</v>
      </c>
      <c r="F9" s="18" t="s">
        <v>138</v>
      </c>
      <c r="G9" s="18" t="s">
        <v>139</v>
      </c>
      <c r="H9" s="18" t="s">
        <v>70</v>
      </c>
      <c r="I9" s="17" t="n">
        <v>4</v>
      </c>
      <c r="J9" s="17" t="n">
        <v>3</v>
      </c>
      <c r="K9" s="17" t="n">
        <f aca="false">I9*J9</f>
        <v>12</v>
      </c>
      <c r="L9" s="17" t="str">
        <f aca="false">IF(K9&gt;=16,"CRITICAL",IF(K9&gt;=10,"HIGH",IF(K9&gt;=5,"MEDIUM","LOW")))</f>
        <v>HIGH</v>
      </c>
      <c r="M9" s="17" t="s">
        <v>95</v>
      </c>
      <c r="N9" s="17" t="n">
        <v>3</v>
      </c>
      <c r="O9" s="17" t="n">
        <f aca="false">I9*J9*N9</f>
        <v>36</v>
      </c>
      <c r="P9" s="17" t="s">
        <v>26</v>
      </c>
      <c r="Q9" s="17" t="n">
        <v>3</v>
      </c>
      <c r="R9" s="17" t="n">
        <v>2</v>
      </c>
      <c r="S9" s="17" t="n">
        <f aca="false">Q9*R9</f>
        <v>6</v>
      </c>
      <c r="T9" s="17" t="str">
        <f aca="false">IF(S9&gt;=16,"CRITICAL",IF(S9&gt;=10,"HIGH",IF(S9&gt;=5,"MEDIUM","LOW")))</f>
        <v>MEDIUM</v>
      </c>
      <c r="U9" s="18" t="s">
        <v>96</v>
      </c>
      <c r="V9" s="18" t="s">
        <v>140</v>
      </c>
      <c r="W9" s="18" t="s">
        <v>141</v>
      </c>
      <c r="X9" s="17" t="s">
        <v>8</v>
      </c>
      <c r="Y9" s="17" t="s">
        <v>75</v>
      </c>
      <c r="Z9" s="18" t="s">
        <v>76</v>
      </c>
      <c r="AA9" s="17" t="s">
        <v>78</v>
      </c>
      <c r="AB9" s="17" t="s">
        <v>109</v>
      </c>
      <c r="AC9" s="17" t="s">
        <v>78</v>
      </c>
      <c r="AD9" s="18"/>
    </row>
    <row r="10" customFormat="false" ht="23.85" hidden="false" customHeight="false" outlineLevel="0" collapsed="false">
      <c r="A10" s="15" t="s">
        <v>142</v>
      </c>
      <c r="B10" s="15" t="s">
        <v>66</v>
      </c>
      <c r="C10" s="15" t="s">
        <v>66</v>
      </c>
      <c r="D10" s="16" t="s">
        <v>20</v>
      </c>
      <c r="E10" s="16" t="s">
        <v>143</v>
      </c>
      <c r="F10" s="16" t="s">
        <v>144</v>
      </c>
      <c r="G10" s="16" t="s">
        <v>145</v>
      </c>
      <c r="H10" s="16" t="s">
        <v>94</v>
      </c>
      <c r="I10" s="15" t="n">
        <v>4</v>
      </c>
      <c r="J10" s="15" t="n">
        <v>3</v>
      </c>
      <c r="K10" s="15" t="n">
        <f aca="false">I10*J10</f>
        <v>12</v>
      </c>
      <c r="L10" s="15" t="str">
        <f aca="false">IF(K10&gt;=16,"CRITICAL",IF(K10&gt;=10,"HIGH",IF(K10&gt;=5,"MEDIUM","LOW")))</f>
        <v>HIGH</v>
      </c>
      <c r="M10" s="15" t="s">
        <v>124</v>
      </c>
      <c r="N10" s="15" t="n">
        <v>4</v>
      </c>
      <c r="O10" s="15" t="n">
        <f aca="false">I10*J10*N10</f>
        <v>48</v>
      </c>
      <c r="P10" s="15" t="s">
        <v>85</v>
      </c>
      <c r="Q10" s="15" t="n">
        <v>3</v>
      </c>
      <c r="R10" s="15" t="n">
        <v>2</v>
      </c>
      <c r="S10" s="15" t="n">
        <f aca="false">Q10*R10</f>
        <v>6</v>
      </c>
      <c r="T10" s="15" t="str">
        <f aca="false">IF(S10&gt;=16,"CRITICAL",IF(S10&gt;=10,"HIGH",IF(S10&gt;=5,"MEDIUM","LOW")))</f>
        <v>MEDIUM</v>
      </c>
      <c r="U10" s="16" t="s">
        <v>106</v>
      </c>
      <c r="V10" s="16" t="s">
        <v>146</v>
      </c>
      <c r="W10" s="16" t="s">
        <v>147</v>
      </c>
      <c r="X10" s="15" t="s">
        <v>8</v>
      </c>
      <c r="Y10" s="15" t="s">
        <v>118</v>
      </c>
      <c r="Z10" s="16" t="s">
        <v>119</v>
      </c>
      <c r="AA10" s="15" t="s">
        <v>78</v>
      </c>
      <c r="AB10" s="15" t="s">
        <v>109</v>
      </c>
      <c r="AC10" s="15" t="s">
        <v>78</v>
      </c>
      <c r="AD10" s="16"/>
    </row>
    <row r="11" customFormat="false" ht="23.85" hidden="false" customHeight="false" outlineLevel="0" collapsed="false">
      <c r="A11" s="17" t="s">
        <v>148</v>
      </c>
      <c r="B11" s="17" t="s">
        <v>66</v>
      </c>
      <c r="C11" s="17" t="s">
        <v>66</v>
      </c>
      <c r="D11" s="18" t="s">
        <v>21</v>
      </c>
      <c r="E11" s="18" t="s">
        <v>149</v>
      </c>
      <c r="F11" s="18" t="s">
        <v>150</v>
      </c>
      <c r="G11" s="18" t="s">
        <v>151</v>
      </c>
      <c r="H11" s="18" t="s">
        <v>115</v>
      </c>
      <c r="I11" s="17" t="n">
        <v>4</v>
      </c>
      <c r="J11" s="17" t="n">
        <v>3</v>
      </c>
      <c r="K11" s="17" t="n">
        <f aca="false">I11*J11</f>
        <v>12</v>
      </c>
      <c r="L11" s="17" t="str">
        <f aca="false">IF(K11&gt;=16,"CRITICAL",IF(K11&gt;=10,"HIGH",IF(K11&gt;=5,"MEDIUM","LOW")))</f>
        <v>HIGH</v>
      </c>
      <c r="M11" s="17" t="s">
        <v>95</v>
      </c>
      <c r="N11" s="17" t="n">
        <v>3</v>
      </c>
      <c r="O11" s="17" t="n">
        <f aca="false">I11*J11*N11</f>
        <v>36</v>
      </c>
      <c r="P11" s="17" t="s">
        <v>26</v>
      </c>
      <c r="Q11" s="17" t="n">
        <v>3</v>
      </c>
      <c r="R11" s="17" t="n">
        <v>2</v>
      </c>
      <c r="S11" s="17" t="n">
        <f aca="false">Q11*R11</f>
        <v>6</v>
      </c>
      <c r="T11" s="17" t="str">
        <f aca="false">IF(S11&gt;=16,"CRITICAL",IF(S11&gt;=10,"HIGH",IF(S11&gt;=5,"MEDIUM","LOW")))</f>
        <v>MEDIUM</v>
      </c>
      <c r="U11" s="18" t="s">
        <v>96</v>
      </c>
      <c r="V11" s="18" t="s">
        <v>152</v>
      </c>
      <c r="W11" s="18" t="s">
        <v>153</v>
      </c>
      <c r="X11" s="17" t="s">
        <v>8</v>
      </c>
      <c r="Y11" s="17" t="s">
        <v>118</v>
      </c>
      <c r="Z11" s="18" t="s">
        <v>119</v>
      </c>
      <c r="AA11" s="17" t="s">
        <v>78</v>
      </c>
      <c r="AB11" s="17" t="s">
        <v>109</v>
      </c>
      <c r="AC11" s="17" t="s">
        <v>78</v>
      </c>
      <c r="AD11" s="18"/>
    </row>
    <row r="12" customFormat="false" ht="35.05" hidden="false" customHeight="false" outlineLevel="0" collapsed="false">
      <c r="A12" s="15" t="s">
        <v>154</v>
      </c>
      <c r="B12" s="15" t="s">
        <v>66</v>
      </c>
      <c r="C12" s="15" t="s">
        <v>66</v>
      </c>
      <c r="D12" s="16" t="s">
        <v>15</v>
      </c>
      <c r="E12" s="16" t="s">
        <v>155</v>
      </c>
      <c r="F12" s="16" t="s">
        <v>156</v>
      </c>
      <c r="G12" s="16" t="s">
        <v>157</v>
      </c>
      <c r="H12" s="16" t="s">
        <v>115</v>
      </c>
      <c r="I12" s="15" t="n">
        <v>3</v>
      </c>
      <c r="J12" s="15" t="n">
        <v>3</v>
      </c>
      <c r="K12" s="15" t="n">
        <f aca="false">I12*J12</f>
        <v>9</v>
      </c>
      <c r="L12" s="15" t="str">
        <f aca="false">IF(K12&gt;=16,"CRITICAL",IF(K12&gt;=10,"HIGH",IF(K12&gt;=5,"MEDIUM","LOW")))</f>
        <v>MEDIUM</v>
      </c>
      <c r="M12" s="15" t="s">
        <v>95</v>
      </c>
      <c r="N12" s="15" t="n">
        <v>3</v>
      </c>
      <c r="O12" s="15" t="n">
        <f aca="false">I12*J12*N12</f>
        <v>27</v>
      </c>
      <c r="P12" s="15" t="s">
        <v>26</v>
      </c>
      <c r="Q12" s="15" t="n">
        <v>2</v>
      </c>
      <c r="R12" s="15" t="n">
        <v>2</v>
      </c>
      <c r="S12" s="15" t="n">
        <f aca="false">Q12*R12</f>
        <v>4</v>
      </c>
      <c r="T12" s="15" t="str">
        <f aca="false">IF(S12&gt;=16,"CRITICAL",IF(S12&gt;=10,"HIGH",IF(S12&gt;=5,"MEDIUM","LOW")))</f>
        <v>LOW</v>
      </c>
      <c r="U12" s="16" t="s">
        <v>132</v>
      </c>
      <c r="V12" s="16" t="s">
        <v>158</v>
      </c>
      <c r="W12" s="16" t="s">
        <v>159</v>
      </c>
      <c r="X12" s="15" t="s">
        <v>8</v>
      </c>
      <c r="Y12" s="15" t="s">
        <v>75</v>
      </c>
      <c r="Z12" s="16" t="s">
        <v>76</v>
      </c>
      <c r="AA12" s="15" t="s">
        <v>78</v>
      </c>
      <c r="AB12" s="15" t="s">
        <v>78</v>
      </c>
      <c r="AC12" s="15" t="s">
        <v>78</v>
      </c>
      <c r="AD12" s="16"/>
    </row>
    <row r="13" customFormat="false" ht="23.85" hidden="false" customHeight="false" outlineLevel="0" collapsed="false">
      <c r="A13" s="17" t="s">
        <v>160</v>
      </c>
      <c r="B13" s="17" t="s">
        <v>66</v>
      </c>
      <c r="C13" s="17" t="s">
        <v>66</v>
      </c>
      <c r="D13" s="18" t="s">
        <v>16</v>
      </c>
      <c r="E13" s="18" t="s">
        <v>161</v>
      </c>
      <c r="F13" s="18" t="s">
        <v>162</v>
      </c>
      <c r="G13" s="18" t="s">
        <v>163</v>
      </c>
      <c r="H13" s="18" t="s">
        <v>164</v>
      </c>
      <c r="I13" s="17" t="n">
        <v>3</v>
      </c>
      <c r="J13" s="17" t="n">
        <v>2</v>
      </c>
      <c r="K13" s="17" t="n">
        <f aca="false">I13*J13</f>
        <v>6</v>
      </c>
      <c r="L13" s="17" t="str">
        <f aca="false">IF(K13&gt;=16,"CRITICAL",IF(K13&gt;=10,"HIGH",IF(K13&gt;=5,"MEDIUM","LOW")))</f>
        <v>MEDIUM</v>
      </c>
      <c r="M13" s="17" t="s">
        <v>124</v>
      </c>
      <c r="N13" s="17" t="n">
        <v>4</v>
      </c>
      <c r="O13" s="17" t="n">
        <f aca="false">I13*J13*N13</f>
        <v>24</v>
      </c>
      <c r="P13" s="17" t="s">
        <v>165</v>
      </c>
      <c r="Q13" s="17" t="n">
        <v>3</v>
      </c>
      <c r="R13" s="17" t="n">
        <v>2</v>
      </c>
      <c r="S13" s="17" t="n">
        <f aca="false">Q13*R13</f>
        <v>6</v>
      </c>
      <c r="T13" s="17" t="str">
        <f aca="false">IF(S13&gt;=16,"CRITICAL",IF(S13&gt;=10,"HIGH",IF(S13&gt;=5,"MEDIUM","LOW")))</f>
        <v>MEDIUM</v>
      </c>
      <c r="U13" s="18" t="s">
        <v>96</v>
      </c>
      <c r="V13" s="18" t="s">
        <v>166</v>
      </c>
      <c r="W13" s="18" t="s">
        <v>167</v>
      </c>
      <c r="X13" s="17" t="s">
        <v>8</v>
      </c>
      <c r="Y13" s="17" t="s">
        <v>118</v>
      </c>
      <c r="Z13" s="18" t="s">
        <v>119</v>
      </c>
      <c r="AA13" s="17" t="s">
        <v>78</v>
      </c>
      <c r="AB13" s="17" t="s">
        <v>77</v>
      </c>
      <c r="AC13" s="17" t="s">
        <v>78</v>
      </c>
      <c r="AD13" s="18"/>
    </row>
  </sheetData>
  <autoFilter ref="A1:AD13"/>
  <conditionalFormatting sqref="L2:L50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13">
      <formula>"HIGH"</formula>
    </cfRule>
    <cfRule type="cellIs" priority="4" operator="equal" aboveAverage="0" equalAverage="0" bottom="0" percent="0" rank="0" text="" dxfId="14">
      <formula>"MEDIUM"</formula>
    </cfRule>
    <cfRule type="cellIs" priority="5" operator="equal" aboveAverage="0" equalAverage="0" bottom="0" percent="0" rank="0" text="" dxfId="15">
      <formula>"LOW"</formula>
    </cfRule>
  </conditionalFormatting>
  <conditionalFormatting sqref="T2:T50">
    <cfRule type="cellIs" priority="6" operator="equal" aboveAverage="0" equalAverage="0" bottom="0" percent="0" rank="0" text="" dxfId="12">
      <formula>"CRITICAL"</formula>
    </cfRule>
    <cfRule type="cellIs" priority="7" operator="equal" aboveAverage="0" equalAverage="0" bottom="0" percent="0" rank="0" text="" dxfId="13">
      <formula>"HIGH"</formula>
    </cfRule>
    <cfRule type="cellIs" priority="8" operator="equal" aboveAverage="0" equalAverage="0" bottom="0" percent="0" rank="0" text="" dxfId="14">
      <formula>"MEDIUM"</formula>
    </cfRule>
    <cfRule type="cellIs" priority="9" operator="equal" aboveAverage="0" equalAverage="0" bottom="0" percent="0" rank="0" text="" dxfId="15">
      <formula>"LOW"</formula>
    </cfRule>
  </conditionalFormatting>
  <conditionalFormatting sqref="K2:K50">
    <cfRule type="cellIs" priority="10" operator="greaterThanOrEqual" aboveAverage="0" equalAverage="0" bottom="0" percent="0" rank="0" text="" dxfId="16">
      <formula>16</formula>
    </cfRule>
    <cfRule type="cellIs" priority="11" operator="between" aboveAverage="0" equalAverage="0" bottom="0" percent="0" rank="0" text="" dxfId="17">
      <formula>10</formula>
      <formula>15</formula>
    </cfRule>
    <cfRule type="cellIs" priority="12" operator="between" aboveAverage="0" equalAverage="0" bottom="0" percent="0" rank="0" text="" dxfId="18">
      <formula>5</formula>
      <formula>9</formula>
    </cfRule>
    <cfRule type="cellIs" priority="13" operator="lessThanOrEqual" aboveAverage="0" equalAverage="0" bottom="0" percent="0" rank="0" text="" dxfId="19">
      <formula>4</formula>
    </cfRule>
  </conditionalFormatting>
  <conditionalFormatting sqref="S2:S50">
    <cfRule type="cellIs" priority="14" operator="greaterThanOrEqual" aboveAverage="0" equalAverage="0" bottom="0" percent="0" rank="0" text="" dxfId="16">
      <formula>16</formula>
    </cfRule>
    <cfRule type="cellIs" priority="15" operator="between" aboveAverage="0" equalAverage="0" bottom="0" percent="0" rank="0" text="" dxfId="17">
      <formula>10</formula>
      <formula>15</formula>
    </cfRule>
    <cfRule type="cellIs" priority="16" operator="between" aboveAverage="0" equalAverage="0" bottom="0" percent="0" rank="0" text="" dxfId="18">
      <formula>5</formula>
      <formula>9</formula>
    </cfRule>
    <cfRule type="cellIs" priority="17" operator="lessThanOrEqual" aboveAverage="0" equalAverage="0" bottom="0" percent="0" rank="0" text="" dxfId="19">
      <formula>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20"/>
  </cols>
  <sheetData>
    <row r="1" customFormat="false" ht="17.35" hidden="false" customHeight="false" outlineLevel="0" collapsed="false">
      <c r="A1" s="19" t="s">
        <v>168</v>
      </c>
      <c r="B1" s="19"/>
      <c r="C1" s="19"/>
      <c r="D1" s="19"/>
      <c r="E1" s="19"/>
      <c r="F1" s="19"/>
      <c r="G1" s="19"/>
    </row>
    <row r="3" customFormat="false" ht="15" hidden="false" customHeight="false" outlineLevel="0" collapsed="false">
      <c r="A3" s="20" t="s">
        <v>169</v>
      </c>
      <c r="B3" s="11" t="s">
        <v>170</v>
      </c>
      <c r="C3" s="11" t="s">
        <v>171</v>
      </c>
      <c r="D3" s="11" t="s">
        <v>172</v>
      </c>
      <c r="E3" s="11" t="s">
        <v>173</v>
      </c>
      <c r="F3" s="11" t="s">
        <v>174</v>
      </c>
    </row>
    <row r="4" customFormat="false" ht="17.35" hidden="false" customHeight="false" outlineLevel="0" collapsed="false">
      <c r="A4" s="21" t="s">
        <v>175</v>
      </c>
      <c r="B4" s="22" t="n">
        <v>5</v>
      </c>
      <c r="C4" s="23" t="n">
        <v>10</v>
      </c>
      <c r="D4" s="23" t="n">
        <v>15</v>
      </c>
      <c r="E4" s="24" t="n">
        <v>20</v>
      </c>
      <c r="F4" s="24" t="n">
        <v>25</v>
      </c>
    </row>
    <row r="5" customFormat="false" ht="17.35" hidden="false" customHeight="false" outlineLevel="0" collapsed="false">
      <c r="A5" s="21" t="s">
        <v>176</v>
      </c>
      <c r="B5" s="25" t="n">
        <v>4</v>
      </c>
      <c r="C5" s="22" t="n">
        <v>8</v>
      </c>
      <c r="D5" s="23" t="n">
        <v>12</v>
      </c>
      <c r="E5" s="24" t="n">
        <v>16</v>
      </c>
      <c r="F5" s="24" t="n">
        <v>20</v>
      </c>
    </row>
    <row r="6" customFormat="false" ht="17.35" hidden="false" customHeight="false" outlineLevel="0" collapsed="false">
      <c r="A6" s="21" t="s">
        <v>177</v>
      </c>
      <c r="B6" s="25" t="n">
        <v>3</v>
      </c>
      <c r="C6" s="22" t="n">
        <v>6</v>
      </c>
      <c r="D6" s="22" t="n">
        <v>9</v>
      </c>
      <c r="E6" s="23" t="n">
        <v>12</v>
      </c>
      <c r="F6" s="23" t="n">
        <v>15</v>
      </c>
    </row>
    <row r="7" customFormat="false" ht="17.35" hidden="false" customHeight="false" outlineLevel="0" collapsed="false">
      <c r="A7" s="21" t="s">
        <v>178</v>
      </c>
      <c r="B7" s="25" t="n">
        <v>2</v>
      </c>
      <c r="C7" s="25" t="n">
        <v>4</v>
      </c>
      <c r="D7" s="22" t="n">
        <v>6</v>
      </c>
      <c r="E7" s="22" t="n">
        <v>8</v>
      </c>
      <c r="F7" s="23" t="n">
        <v>10</v>
      </c>
    </row>
    <row r="8" customFormat="false" ht="17.35" hidden="false" customHeight="false" outlineLevel="0" collapsed="false">
      <c r="A8" s="21" t="s">
        <v>179</v>
      </c>
      <c r="B8" s="25" t="n">
        <v>1</v>
      </c>
      <c r="C8" s="25" t="n">
        <v>2</v>
      </c>
      <c r="D8" s="25" t="n">
        <v>3</v>
      </c>
      <c r="E8" s="25" t="n">
        <v>4</v>
      </c>
      <c r="F8" s="22" t="n">
        <v>5</v>
      </c>
    </row>
    <row r="11" customFormat="false" ht="15" hidden="false" customHeight="false" outlineLevel="0" collapsed="false">
      <c r="A11" s="10" t="s">
        <v>180</v>
      </c>
    </row>
    <row r="12" customFormat="false" ht="15" hidden="false" customHeight="false" outlineLevel="0" collapsed="false">
      <c r="A12" s="11" t="s">
        <v>37</v>
      </c>
      <c r="B12" s="11" t="s">
        <v>181</v>
      </c>
      <c r="C12" s="11" t="s">
        <v>182</v>
      </c>
      <c r="D12" s="11" t="s">
        <v>183</v>
      </c>
      <c r="E12" s="11" t="s">
        <v>184</v>
      </c>
      <c r="F12" s="11" t="s">
        <v>185</v>
      </c>
    </row>
    <row r="13" customFormat="false" ht="15" hidden="false" customHeight="false" outlineLevel="0" collapsed="false">
      <c r="A13" s="12" t="str">
        <f aca="false">'Risk Register'!A2</f>
        <v>DP-001</v>
      </c>
      <c r="B13" s="12" t="n">
        <f aca="false">'Risk Register'!I2</f>
        <v>5</v>
      </c>
      <c r="C13" s="12" t="n">
        <f aca="false">'Risk Register'!J2</f>
        <v>4</v>
      </c>
      <c r="D13" s="12" t="n">
        <f aca="false">'Risk Register'!K2</f>
        <v>20</v>
      </c>
      <c r="E13" s="12" t="str">
        <f aca="false">'Risk Register'!L2</f>
        <v>CRITICAL</v>
      </c>
      <c r="F13" s="12" t="str">
        <f aca="false">IF(D13&gt;=16,"IMMEDIATE ACTION",IF(D13&gt;=10,"MITIGATION PLAN",IF(D13&gt;=5,"MONITOR &amp; REVIEW","ACCEPT")))</f>
        <v>IMMEDIATE ACTION</v>
      </c>
    </row>
    <row r="14" customFormat="false" ht="15" hidden="false" customHeight="false" outlineLevel="0" collapsed="false">
      <c r="A14" s="12" t="str">
        <f aca="false">'Risk Register'!A3</f>
        <v>DP-002</v>
      </c>
      <c r="B14" s="12" t="n">
        <f aca="false">'Risk Register'!I3</f>
        <v>5</v>
      </c>
      <c r="C14" s="12" t="n">
        <f aca="false">'Risk Register'!J3</f>
        <v>3</v>
      </c>
      <c r="D14" s="12" t="n">
        <f aca="false">'Risk Register'!K3</f>
        <v>15</v>
      </c>
      <c r="E14" s="12" t="str">
        <f aca="false">'Risk Register'!L3</f>
        <v>HIGH</v>
      </c>
      <c r="F14" s="12" t="str">
        <f aca="false">IF(D14&gt;=16,"IMMEDIATE ACTION",IF(D14&gt;=10,"MITIGATION PLAN",IF(D14&gt;=5,"MONITOR &amp; REVIEW","ACCEPT")))</f>
        <v>MITIGATION PLAN</v>
      </c>
    </row>
    <row r="15" customFormat="false" ht="15" hidden="false" customHeight="false" outlineLevel="0" collapsed="false">
      <c r="A15" s="12" t="str">
        <f aca="false">'Risk Register'!A4</f>
        <v>REG-001</v>
      </c>
      <c r="B15" s="12" t="n">
        <f aca="false">'Risk Register'!I4</f>
        <v>5</v>
      </c>
      <c r="C15" s="12" t="n">
        <f aca="false">'Risk Register'!J4</f>
        <v>4</v>
      </c>
      <c r="D15" s="12" t="n">
        <f aca="false">'Risk Register'!K4</f>
        <v>20</v>
      </c>
      <c r="E15" s="12" t="str">
        <f aca="false">'Risk Register'!L4</f>
        <v>CRITICAL</v>
      </c>
      <c r="F15" s="12" t="str">
        <f aca="false">IF(D15&gt;=16,"IMMEDIATE ACTION",IF(D15&gt;=10,"MITIGATION PLAN",IF(D15&gt;=5,"MONITOR &amp; REVIEW","ACCEPT")))</f>
        <v>IMMEDIATE ACTION</v>
      </c>
    </row>
    <row r="16" customFormat="false" ht="15" hidden="false" customHeight="false" outlineLevel="0" collapsed="false">
      <c r="A16" s="12" t="str">
        <f aca="false">'Risk Register'!A5</f>
        <v>REG-002</v>
      </c>
      <c r="B16" s="12" t="n">
        <f aca="false">'Risk Register'!I5</f>
        <v>4</v>
      </c>
      <c r="C16" s="12" t="n">
        <f aca="false">'Risk Register'!J5</f>
        <v>3</v>
      </c>
      <c r="D16" s="12" t="n">
        <f aca="false">'Risk Register'!K5</f>
        <v>12</v>
      </c>
      <c r="E16" s="12" t="str">
        <f aca="false">'Risk Register'!L5</f>
        <v>HIGH</v>
      </c>
      <c r="F16" s="12" t="str">
        <f aca="false">IF(D16&gt;=16,"IMMEDIATE ACTION",IF(D16&gt;=10,"MITIGATION PLAN",IF(D16&gt;=5,"MONITOR &amp; REVIEW","ACCEPT")))</f>
        <v>MITIGATION PLAN</v>
      </c>
    </row>
    <row r="17" customFormat="false" ht="15" hidden="false" customHeight="false" outlineLevel="0" collapsed="false">
      <c r="A17" s="12" t="str">
        <f aca="false">'Risk Register'!A6</f>
        <v>SEC-001</v>
      </c>
      <c r="B17" s="12" t="n">
        <f aca="false">'Risk Register'!I6</f>
        <v>5</v>
      </c>
      <c r="C17" s="12" t="n">
        <f aca="false">'Risk Register'!J6</f>
        <v>2</v>
      </c>
      <c r="D17" s="12" t="n">
        <f aca="false">'Risk Register'!K6</f>
        <v>10</v>
      </c>
      <c r="E17" s="12" t="str">
        <f aca="false">'Risk Register'!L6</f>
        <v>HIGH</v>
      </c>
      <c r="F17" s="12" t="str">
        <f aca="false">IF(D17&gt;=16,"IMMEDIATE ACTION",IF(D17&gt;=10,"MITIGATION PLAN",IF(D17&gt;=5,"MONITOR &amp; REVIEW","ACCEPT")))</f>
        <v>MITIGATION PLAN</v>
      </c>
    </row>
    <row r="18" customFormat="false" ht="15" hidden="false" customHeight="false" outlineLevel="0" collapsed="false">
      <c r="A18" s="12" t="str">
        <f aca="false">'Risk Register'!A7</f>
        <v>SEC-002</v>
      </c>
      <c r="B18" s="12" t="n">
        <f aca="false">'Risk Register'!I7</f>
        <v>4</v>
      </c>
      <c r="C18" s="12" t="n">
        <f aca="false">'Risk Register'!J7</f>
        <v>2</v>
      </c>
      <c r="D18" s="12" t="n">
        <f aca="false">'Risk Register'!K7</f>
        <v>8</v>
      </c>
      <c r="E18" s="12" t="str">
        <f aca="false">'Risk Register'!L7</f>
        <v>MEDIUM</v>
      </c>
      <c r="F18" s="12" t="str">
        <f aca="false">IF(D18&gt;=16,"IMMEDIATE ACTION",IF(D18&gt;=10,"MITIGATION PLAN",IF(D18&gt;=5,"MONITOR &amp; REVIEW","ACCEPT")))</f>
        <v>MONITOR &amp; REVIEW</v>
      </c>
    </row>
    <row r="19" customFormat="false" ht="15" hidden="false" customHeight="false" outlineLevel="0" collapsed="false">
      <c r="A19" s="12" t="str">
        <f aca="false">'Risk Register'!A8</f>
        <v>BREACH-001</v>
      </c>
      <c r="B19" s="12" t="n">
        <f aca="false">'Risk Register'!I8</f>
        <v>5</v>
      </c>
      <c r="C19" s="12" t="n">
        <f aca="false">'Risk Register'!J8</f>
        <v>3</v>
      </c>
      <c r="D19" s="12" t="n">
        <f aca="false">'Risk Register'!K8</f>
        <v>15</v>
      </c>
      <c r="E19" s="12" t="str">
        <f aca="false">'Risk Register'!L8</f>
        <v>HIGH</v>
      </c>
      <c r="F19" s="12" t="str">
        <f aca="false">IF(D19&gt;=16,"IMMEDIATE ACTION",IF(D19&gt;=10,"MITIGATION PLAN",IF(D19&gt;=5,"MONITOR &amp; REVIEW","ACCEPT")))</f>
        <v>MITIGATION PLAN</v>
      </c>
    </row>
    <row r="20" customFormat="false" ht="15" hidden="false" customHeight="false" outlineLevel="0" collapsed="false">
      <c r="A20" s="12" t="str">
        <f aca="false">'Risk Register'!A9</f>
        <v>CONSENT-001</v>
      </c>
      <c r="B20" s="12" t="n">
        <f aca="false">'Risk Register'!I9</f>
        <v>4</v>
      </c>
      <c r="C20" s="12" t="n">
        <f aca="false">'Risk Register'!J9</f>
        <v>3</v>
      </c>
      <c r="D20" s="12" t="n">
        <f aca="false">'Risk Register'!K9</f>
        <v>12</v>
      </c>
      <c r="E20" s="12" t="str">
        <f aca="false">'Risk Register'!L9</f>
        <v>HIGH</v>
      </c>
      <c r="F20" s="12" t="str">
        <f aca="false">IF(D20&gt;=16,"IMMEDIATE ACTION",IF(D20&gt;=10,"MITIGATION PLAN",IF(D20&gt;=5,"MONITOR &amp; REVIEW","ACCEPT")))</f>
        <v>MITIGATION PLAN</v>
      </c>
    </row>
    <row r="21" customFormat="false" ht="15" hidden="false" customHeight="false" outlineLevel="0" collapsed="false">
      <c r="A21" s="12" t="str">
        <f aca="false">'Risk Register'!A10</f>
        <v>AI-001</v>
      </c>
      <c r="B21" s="12" t="n">
        <f aca="false">'Risk Register'!I10</f>
        <v>4</v>
      </c>
      <c r="C21" s="12" t="n">
        <f aca="false">'Risk Register'!J10</f>
        <v>3</v>
      </c>
      <c r="D21" s="12" t="n">
        <f aca="false">'Risk Register'!K10</f>
        <v>12</v>
      </c>
      <c r="E21" s="12" t="str">
        <f aca="false">'Risk Register'!L10</f>
        <v>HIGH</v>
      </c>
      <c r="F21" s="12" t="str">
        <f aca="false">IF(D21&gt;=16,"IMMEDIATE ACTION",IF(D21&gt;=10,"MITIGATION PLAN",IF(D21&gt;=5,"MONITOR &amp; REVIEW","ACCEPT")))</f>
        <v>MITIGATION PLAN</v>
      </c>
    </row>
    <row r="22" customFormat="false" ht="15" hidden="false" customHeight="false" outlineLevel="0" collapsed="false">
      <c r="A22" s="12" t="str">
        <f aca="false">'Risk Register'!A11</f>
        <v>CONTRACT-001</v>
      </c>
      <c r="B22" s="12" t="n">
        <f aca="false">'Risk Register'!I11</f>
        <v>4</v>
      </c>
      <c r="C22" s="12" t="n">
        <f aca="false">'Risk Register'!J11</f>
        <v>3</v>
      </c>
      <c r="D22" s="12" t="n">
        <f aca="false">'Risk Register'!K11</f>
        <v>12</v>
      </c>
      <c r="E22" s="12" t="str">
        <f aca="false">'Risk Register'!L11</f>
        <v>HIGH</v>
      </c>
      <c r="F22" s="12" t="str">
        <f aca="false">IF(D22&gt;=16,"IMMEDIATE ACTION",IF(D22&gt;=10,"MITIGATION PLAN",IF(D22&gt;=5,"MONITOR &amp; REVIEW","ACCEPT")))</f>
        <v>MITIGATION PLAN</v>
      </c>
    </row>
    <row r="23" customFormat="false" ht="15" hidden="false" customHeight="false" outlineLevel="0" collapsed="false">
      <c r="A23" s="12" t="str">
        <f aca="false">'Risk Register'!A12</f>
        <v>ERASURE-001</v>
      </c>
      <c r="B23" s="12" t="n">
        <f aca="false">'Risk Register'!I12</f>
        <v>3</v>
      </c>
      <c r="C23" s="12" t="n">
        <f aca="false">'Risk Register'!J12</f>
        <v>3</v>
      </c>
      <c r="D23" s="12" t="n">
        <f aca="false">'Risk Register'!K12</f>
        <v>9</v>
      </c>
      <c r="E23" s="12" t="str">
        <f aca="false">'Risk Register'!L12</f>
        <v>MEDIUM</v>
      </c>
      <c r="F23" s="12" t="str">
        <f aca="false">IF(D23&gt;=16,"IMMEDIATE ACTION",IF(D23&gt;=10,"MITIGATION PLAN",IF(D23&gt;=5,"MONITOR &amp; REVIEW","ACCEPT")))</f>
        <v>MONITOR &amp; REVIEW</v>
      </c>
    </row>
    <row r="24" customFormat="false" ht="15" hidden="false" customHeight="false" outlineLevel="0" collapsed="false">
      <c r="A24" s="12" t="str">
        <f aca="false">'Risk Register'!A13</f>
        <v>COFEPRIS-001</v>
      </c>
      <c r="B24" s="12" t="n">
        <f aca="false">'Risk Register'!I13</f>
        <v>3</v>
      </c>
      <c r="C24" s="12" t="n">
        <f aca="false">'Risk Register'!J13</f>
        <v>2</v>
      </c>
      <c r="D24" s="12" t="n">
        <f aca="false">'Risk Register'!K13</f>
        <v>6</v>
      </c>
      <c r="E24" s="12" t="str">
        <f aca="false">'Risk Register'!L13</f>
        <v>MEDIUM</v>
      </c>
      <c r="F24" s="12" t="str">
        <f aca="false">IF(D24&gt;=16,"IMMEDIATE ACTION",IF(D24&gt;=10,"MITIGATION PLAN",IF(D24&gt;=5,"MONITOR &amp; REVIEW","ACCEPT")))</f>
        <v>MONITOR &amp; REVIEW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50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0"/>
  </cols>
  <sheetData>
    <row r="1" customFormat="false" ht="26.85" hidden="false" customHeight="false" outlineLevel="0" collapsed="false">
      <c r="A1" s="11" t="s">
        <v>186</v>
      </c>
      <c r="B1" s="11" t="s">
        <v>187</v>
      </c>
      <c r="C1" s="11" t="s">
        <v>188</v>
      </c>
      <c r="D1" s="11" t="s">
        <v>189</v>
      </c>
      <c r="E1" s="11" t="s">
        <v>190</v>
      </c>
      <c r="F1" s="11" t="s">
        <v>191</v>
      </c>
      <c r="G1" s="11" t="s">
        <v>192</v>
      </c>
      <c r="H1" s="11" t="s">
        <v>193</v>
      </c>
      <c r="I1" s="11" t="s">
        <v>194</v>
      </c>
      <c r="J1" s="11" t="s">
        <v>195</v>
      </c>
      <c r="K1" s="11" t="s">
        <v>196</v>
      </c>
    </row>
    <row r="2" customFormat="false" ht="23.85" hidden="false" customHeight="false" outlineLevel="0" collapsed="false">
      <c r="A2" s="16" t="s">
        <v>197</v>
      </c>
      <c r="B2" s="15" t="s">
        <v>70</v>
      </c>
      <c r="C2" s="16" t="s">
        <v>198</v>
      </c>
      <c r="D2" s="16" t="s">
        <v>199</v>
      </c>
      <c r="E2" s="16" t="s">
        <v>200</v>
      </c>
      <c r="F2" s="16" t="s">
        <v>201</v>
      </c>
      <c r="G2" s="15" t="s">
        <v>26</v>
      </c>
      <c r="H2" s="16" t="s">
        <v>202</v>
      </c>
      <c r="I2" s="16" t="s">
        <v>72</v>
      </c>
      <c r="J2" s="15" t="s">
        <v>203</v>
      </c>
      <c r="K2" s="15" t="s">
        <v>204</v>
      </c>
    </row>
    <row r="3" customFormat="false" ht="23.85" hidden="false" customHeight="false" outlineLevel="0" collapsed="false">
      <c r="A3" s="18" t="s">
        <v>205</v>
      </c>
      <c r="B3" s="17" t="s">
        <v>84</v>
      </c>
      <c r="C3" s="18" t="s">
        <v>206</v>
      </c>
      <c r="D3" s="18" t="s">
        <v>207</v>
      </c>
      <c r="E3" s="18" t="s">
        <v>208</v>
      </c>
      <c r="F3" s="18" t="s">
        <v>209</v>
      </c>
      <c r="G3" s="17" t="s">
        <v>26</v>
      </c>
      <c r="H3" s="18" t="s">
        <v>210</v>
      </c>
      <c r="I3" s="18" t="s">
        <v>86</v>
      </c>
      <c r="J3" s="17" t="s">
        <v>211</v>
      </c>
      <c r="K3" s="17" t="s">
        <v>204</v>
      </c>
    </row>
    <row r="4" customFormat="false" ht="23.85" hidden="false" customHeight="false" outlineLevel="0" collapsed="false">
      <c r="A4" s="16" t="s">
        <v>212</v>
      </c>
      <c r="B4" s="15" t="s">
        <v>84</v>
      </c>
      <c r="C4" s="16" t="s">
        <v>213</v>
      </c>
      <c r="D4" s="16" t="s">
        <v>214</v>
      </c>
      <c r="E4" s="16" t="s">
        <v>215</v>
      </c>
      <c r="F4" s="16" t="s">
        <v>216</v>
      </c>
      <c r="G4" s="15" t="s">
        <v>24</v>
      </c>
      <c r="H4" s="16" t="s">
        <v>217</v>
      </c>
      <c r="I4" s="16" t="s">
        <v>86</v>
      </c>
      <c r="J4" s="15" t="s">
        <v>203</v>
      </c>
      <c r="K4" s="15" t="s">
        <v>218</v>
      </c>
    </row>
    <row r="5" customFormat="false" ht="23.85" hidden="false" customHeight="false" outlineLevel="0" collapsed="false">
      <c r="A5" s="18" t="s">
        <v>219</v>
      </c>
      <c r="B5" s="17" t="s">
        <v>70</v>
      </c>
      <c r="C5" s="18" t="s">
        <v>220</v>
      </c>
      <c r="D5" s="18" t="s">
        <v>221</v>
      </c>
      <c r="E5" s="18" t="s">
        <v>222</v>
      </c>
      <c r="F5" s="18" t="s">
        <v>223</v>
      </c>
      <c r="G5" s="17" t="s">
        <v>27</v>
      </c>
      <c r="H5" s="18" t="s">
        <v>224</v>
      </c>
      <c r="I5" s="18" t="s">
        <v>96</v>
      </c>
      <c r="J5" s="17" t="s">
        <v>225</v>
      </c>
      <c r="K5" s="17" t="s">
        <v>204</v>
      </c>
    </row>
    <row r="6" customFormat="false" ht="23.85" hidden="false" customHeight="false" outlineLevel="0" collapsed="false">
      <c r="A6" s="16" t="s">
        <v>105</v>
      </c>
      <c r="B6" s="15" t="s">
        <v>70</v>
      </c>
      <c r="C6" s="16" t="s">
        <v>226</v>
      </c>
      <c r="D6" s="16" t="s">
        <v>227</v>
      </c>
      <c r="E6" s="16" t="s">
        <v>228</v>
      </c>
      <c r="F6" s="16" t="s">
        <v>229</v>
      </c>
      <c r="G6" s="15" t="s">
        <v>26</v>
      </c>
      <c r="H6" s="16" t="s">
        <v>230</v>
      </c>
      <c r="I6" s="16" t="s">
        <v>106</v>
      </c>
      <c r="J6" s="15" t="s">
        <v>203</v>
      </c>
      <c r="K6" s="15" t="s">
        <v>218</v>
      </c>
    </row>
    <row r="7" customFormat="false" ht="23.85" hidden="false" customHeight="false" outlineLevel="0" collapsed="false">
      <c r="A7" s="18" t="s">
        <v>231</v>
      </c>
      <c r="B7" s="17" t="s">
        <v>232</v>
      </c>
      <c r="C7" s="18" t="s">
        <v>233</v>
      </c>
      <c r="D7" s="18" t="s">
        <v>234</v>
      </c>
      <c r="E7" s="18" t="s">
        <v>235</v>
      </c>
      <c r="F7" s="18" t="s">
        <v>236</v>
      </c>
      <c r="G7" s="17" t="s">
        <v>27</v>
      </c>
      <c r="H7" s="18" t="s">
        <v>237</v>
      </c>
      <c r="I7" s="18" t="s">
        <v>238</v>
      </c>
      <c r="J7" s="17" t="s">
        <v>225</v>
      </c>
      <c r="K7" s="17" t="s">
        <v>218</v>
      </c>
    </row>
    <row r="8" customFormat="false" ht="23.85" hidden="false" customHeight="false" outlineLevel="0" collapsed="false">
      <c r="A8" s="16" t="s">
        <v>239</v>
      </c>
      <c r="B8" s="15" t="s">
        <v>232</v>
      </c>
      <c r="C8" s="16" t="s">
        <v>240</v>
      </c>
      <c r="D8" s="16" t="s">
        <v>241</v>
      </c>
      <c r="E8" s="16" t="s">
        <v>235</v>
      </c>
      <c r="F8" s="16" t="s">
        <v>236</v>
      </c>
      <c r="G8" s="15" t="s">
        <v>27</v>
      </c>
      <c r="H8" s="16" t="s">
        <v>242</v>
      </c>
      <c r="I8" s="16" t="s">
        <v>96</v>
      </c>
      <c r="J8" s="15" t="s">
        <v>225</v>
      </c>
      <c r="K8" s="15" t="s">
        <v>218</v>
      </c>
    </row>
    <row r="9" customFormat="false" ht="23.85" hidden="false" customHeight="false" outlineLevel="0" collapsed="false">
      <c r="A9" s="18" t="s">
        <v>243</v>
      </c>
      <c r="B9" s="17" t="s">
        <v>164</v>
      </c>
      <c r="C9" s="18" t="s">
        <v>244</v>
      </c>
      <c r="D9" s="18" t="s">
        <v>245</v>
      </c>
      <c r="E9" s="18" t="s">
        <v>246</v>
      </c>
      <c r="F9" s="18" t="s">
        <v>247</v>
      </c>
      <c r="G9" s="17" t="s">
        <v>28</v>
      </c>
      <c r="H9" s="18" t="s">
        <v>248</v>
      </c>
      <c r="I9" s="18" t="s">
        <v>96</v>
      </c>
      <c r="J9" s="17" t="s">
        <v>249</v>
      </c>
      <c r="K9" s="17" t="s">
        <v>250</v>
      </c>
    </row>
    <row r="10" customFormat="false" ht="23.85" hidden="false" customHeight="false" outlineLevel="0" collapsed="false">
      <c r="A10" s="16" t="s">
        <v>251</v>
      </c>
      <c r="B10" s="15" t="s">
        <v>84</v>
      </c>
      <c r="C10" s="16" t="s">
        <v>252</v>
      </c>
      <c r="D10" s="16" t="s">
        <v>253</v>
      </c>
      <c r="E10" s="16" t="s">
        <v>254</v>
      </c>
      <c r="F10" s="16" t="s">
        <v>255</v>
      </c>
      <c r="G10" s="15" t="s">
        <v>25</v>
      </c>
      <c r="H10" s="16" t="s">
        <v>256</v>
      </c>
      <c r="I10" s="16" t="s">
        <v>86</v>
      </c>
      <c r="J10" s="15" t="s">
        <v>225</v>
      </c>
      <c r="K10" s="15" t="s">
        <v>218</v>
      </c>
    </row>
    <row r="11" customFormat="false" ht="23.85" hidden="false" customHeight="false" outlineLevel="0" collapsed="false">
      <c r="A11" s="18" t="s">
        <v>257</v>
      </c>
      <c r="B11" s="17" t="s">
        <v>70</v>
      </c>
      <c r="C11" s="18" t="s">
        <v>258</v>
      </c>
      <c r="D11" s="18" t="s">
        <v>259</v>
      </c>
      <c r="E11" s="18" t="s">
        <v>260</v>
      </c>
      <c r="F11" s="18" t="s">
        <v>261</v>
      </c>
      <c r="G11" s="17" t="s">
        <v>27</v>
      </c>
      <c r="H11" s="18" t="s">
        <v>262</v>
      </c>
      <c r="I11" s="18" t="s">
        <v>72</v>
      </c>
      <c r="J11" s="17" t="s">
        <v>203</v>
      </c>
      <c r="K11" s="17" t="s">
        <v>204</v>
      </c>
    </row>
  </sheetData>
  <autoFilter ref="A1:K11"/>
  <conditionalFormatting sqref="G2:G50">
    <cfRule type="cellIs" priority="2" operator="equal" aboveAverage="0" equalAverage="0" bottom="0" percent="0" rank="0" text="" dxfId="16">
      <formula>"Gap"</formula>
    </cfRule>
    <cfRule type="cellIs" priority="3" operator="equal" aboveAverage="0" equalAverage="0" bottom="0" percent="0" rank="0" text="" dxfId="16">
      <formula>"Not Started"</formula>
    </cfRule>
    <cfRule type="cellIs" priority="4" operator="equal" aboveAverage="0" equalAverage="0" bottom="0" percent="0" rank="0" text="" dxfId="18">
      <formula>"Partial"</formula>
    </cfRule>
    <cfRule type="cellIs" priority="5" operator="equal" aboveAverage="0" equalAverage="0" bottom="0" percent="0" rank="0" text="" dxfId="19">
      <formula>"Strong"</formula>
    </cfRule>
    <cfRule type="cellIs" priority="6" operator="equal" aboveAverage="0" equalAverage="0" bottom="0" percent="0" rank="0" text="" dxfId="18">
      <formula>"In Progress"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55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25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5" min="14" style="0" width="40"/>
    <col collapsed="false" customWidth="true" hidden="false" outlineLevel="0" max="16" min="16" style="0" width="16"/>
    <col collapsed="false" customWidth="true" hidden="false" outlineLevel="0" max="17" min="17" style="0" width="13"/>
  </cols>
  <sheetData>
    <row r="1" customFormat="false" ht="26.85" hidden="false" customHeight="false" outlineLevel="0" collapsed="false">
      <c r="A1" s="11" t="s">
        <v>263</v>
      </c>
      <c r="B1" s="11" t="s">
        <v>264</v>
      </c>
      <c r="C1" s="11" t="s">
        <v>265</v>
      </c>
      <c r="D1" s="11" t="s">
        <v>266</v>
      </c>
      <c r="E1" s="11" t="s">
        <v>267</v>
      </c>
      <c r="F1" s="11" t="s">
        <v>268</v>
      </c>
      <c r="G1" s="11" t="s">
        <v>269</v>
      </c>
      <c r="H1" s="11" t="s">
        <v>270</v>
      </c>
      <c r="I1" s="11" t="s">
        <v>271</v>
      </c>
      <c r="J1" s="11" t="s">
        <v>272</v>
      </c>
      <c r="K1" s="11" t="s">
        <v>273</v>
      </c>
      <c r="L1" s="11" t="s">
        <v>274</v>
      </c>
      <c r="M1" s="11" t="s">
        <v>275</v>
      </c>
      <c r="N1" s="11" t="s">
        <v>276</v>
      </c>
      <c r="O1" s="11" t="s">
        <v>277</v>
      </c>
      <c r="P1" s="11" t="s">
        <v>278</v>
      </c>
      <c r="Q1" s="11" t="s">
        <v>195</v>
      </c>
    </row>
    <row r="2" customFormat="false" ht="23.85" hidden="false" customHeight="false" outlineLevel="0" collapsed="false">
      <c r="A2" s="15" t="s">
        <v>279</v>
      </c>
      <c r="B2" s="16" t="s">
        <v>280</v>
      </c>
      <c r="C2" s="15" t="s">
        <v>281</v>
      </c>
      <c r="D2" s="15" t="s">
        <v>282</v>
      </c>
      <c r="E2" s="16" t="s">
        <v>283</v>
      </c>
      <c r="F2" s="16" t="s">
        <v>284</v>
      </c>
      <c r="G2" s="16" t="s">
        <v>114</v>
      </c>
      <c r="H2" s="15" t="s">
        <v>285</v>
      </c>
      <c r="I2" s="15" t="s">
        <v>286</v>
      </c>
      <c r="J2" s="15" t="s">
        <v>286</v>
      </c>
      <c r="K2" s="16" t="s">
        <v>287</v>
      </c>
      <c r="L2" s="15" t="s">
        <v>288</v>
      </c>
      <c r="M2" s="15" t="s">
        <v>289</v>
      </c>
      <c r="N2" s="16"/>
      <c r="O2" s="16"/>
      <c r="P2" s="16" t="s">
        <v>290</v>
      </c>
      <c r="Q2" s="15"/>
    </row>
    <row r="3" customFormat="false" ht="23.85" hidden="false" customHeight="false" outlineLevel="0" collapsed="false">
      <c r="A3" s="17" t="s">
        <v>291</v>
      </c>
      <c r="B3" s="18" t="s">
        <v>292</v>
      </c>
      <c r="C3" s="17" t="s">
        <v>281</v>
      </c>
      <c r="D3" s="17" t="s">
        <v>293</v>
      </c>
      <c r="E3" s="18" t="s">
        <v>294</v>
      </c>
      <c r="F3" s="18" t="s">
        <v>111</v>
      </c>
      <c r="G3" s="18" t="s">
        <v>295</v>
      </c>
      <c r="H3" s="17" t="s">
        <v>285</v>
      </c>
      <c r="I3" s="17" t="s">
        <v>286</v>
      </c>
      <c r="J3" s="17" t="s">
        <v>286</v>
      </c>
      <c r="K3" s="18" t="s">
        <v>296</v>
      </c>
      <c r="L3" s="17" t="s">
        <v>297</v>
      </c>
      <c r="M3" s="17" t="s">
        <v>289</v>
      </c>
      <c r="N3" s="18"/>
      <c r="O3" s="18"/>
      <c r="P3" s="18" t="s">
        <v>290</v>
      </c>
      <c r="Q3" s="17"/>
    </row>
    <row r="4" customFormat="false" ht="23.85" hidden="false" customHeight="false" outlineLevel="0" collapsed="false">
      <c r="A4" s="15" t="s">
        <v>298</v>
      </c>
      <c r="B4" s="16" t="s">
        <v>299</v>
      </c>
      <c r="C4" s="15" t="s">
        <v>281</v>
      </c>
      <c r="D4" s="15" t="s">
        <v>300</v>
      </c>
      <c r="E4" s="16" t="s">
        <v>301</v>
      </c>
      <c r="F4" s="16" t="s">
        <v>120</v>
      </c>
      <c r="G4" s="16" t="s">
        <v>123</v>
      </c>
      <c r="H4" s="15" t="s">
        <v>285</v>
      </c>
      <c r="I4" s="15" t="s">
        <v>286</v>
      </c>
      <c r="J4" s="15" t="s">
        <v>286</v>
      </c>
      <c r="K4" s="16" t="s">
        <v>302</v>
      </c>
      <c r="L4" s="15" t="s">
        <v>303</v>
      </c>
      <c r="M4" s="15" t="s">
        <v>289</v>
      </c>
      <c r="N4" s="16"/>
      <c r="O4" s="16"/>
      <c r="P4" s="16" t="s">
        <v>290</v>
      </c>
      <c r="Q4" s="15"/>
    </row>
    <row r="5" customFormat="false" ht="23.85" hidden="false" customHeight="false" outlineLevel="0" collapsed="false">
      <c r="A5" s="17" t="s">
        <v>304</v>
      </c>
      <c r="B5" s="18" t="s">
        <v>305</v>
      </c>
      <c r="C5" s="17" t="s">
        <v>306</v>
      </c>
      <c r="D5" s="17" t="s">
        <v>19</v>
      </c>
      <c r="E5" s="18" t="s">
        <v>307</v>
      </c>
      <c r="F5" s="18" t="s">
        <v>136</v>
      </c>
      <c r="G5" s="18" t="s">
        <v>139</v>
      </c>
      <c r="H5" s="17" t="s">
        <v>26</v>
      </c>
      <c r="I5" s="17" t="s">
        <v>308</v>
      </c>
      <c r="J5" s="17" t="s">
        <v>309</v>
      </c>
      <c r="K5" s="18" t="s">
        <v>310</v>
      </c>
      <c r="L5" s="17"/>
      <c r="M5" s="17" t="s">
        <v>311</v>
      </c>
      <c r="N5" s="18" t="s">
        <v>312</v>
      </c>
      <c r="O5" s="18" t="s">
        <v>313</v>
      </c>
      <c r="P5" s="18" t="s">
        <v>314</v>
      </c>
      <c r="Q5" s="17" t="s">
        <v>315</v>
      </c>
    </row>
    <row r="6" customFormat="false" ht="23.85" hidden="false" customHeight="false" outlineLevel="0" collapsed="false">
      <c r="A6" s="15" t="s">
        <v>316</v>
      </c>
      <c r="B6" s="16" t="s">
        <v>317</v>
      </c>
      <c r="C6" s="15" t="s">
        <v>281</v>
      </c>
      <c r="D6" s="15" t="s">
        <v>318</v>
      </c>
      <c r="E6" s="16" t="s">
        <v>319</v>
      </c>
      <c r="F6" s="16" t="s">
        <v>320</v>
      </c>
      <c r="G6" s="16" t="s">
        <v>105</v>
      </c>
      <c r="H6" s="15" t="s">
        <v>285</v>
      </c>
      <c r="I6" s="15" t="s">
        <v>286</v>
      </c>
      <c r="J6" s="15" t="s">
        <v>321</v>
      </c>
      <c r="K6" s="16" t="s">
        <v>322</v>
      </c>
      <c r="L6" s="15" t="s">
        <v>323</v>
      </c>
      <c r="M6" s="15" t="s">
        <v>324</v>
      </c>
      <c r="N6" s="16" t="s">
        <v>325</v>
      </c>
      <c r="O6" s="16" t="s">
        <v>326</v>
      </c>
      <c r="P6" s="16" t="s">
        <v>327</v>
      </c>
      <c r="Q6" s="15" t="s">
        <v>203</v>
      </c>
    </row>
    <row r="7" customFormat="false" ht="23.85" hidden="false" customHeight="false" outlineLevel="0" collapsed="false">
      <c r="A7" s="17" t="s">
        <v>328</v>
      </c>
      <c r="B7" s="18" t="s">
        <v>329</v>
      </c>
      <c r="C7" s="17" t="s">
        <v>281</v>
      </c>
      <c r="D7" s="17" t="s">
        <v>282</v>
      </c>
      <c r="E7" s="18" t="s">
        <v>330</v>
      </c>
      <c r="F7" s="18" t="s">
        <v>331</v>
      </c>
      <c r="G7" s="18" t="s">
        <v>332</v>
      </c>
      <c r="H7" s="17" t="s">
        <v>285</v>
      </c>
      <c r="I7" s="17" t="s">
        <v>321</v>
      </c>
      <c r="J7" s="17" t="s">
        <v>321</v>
      </c>
      <c r="K7" s="18" t="s">
        <v>333</v>
      </c>
      <c r="L7" s="17" t="s">
        <v>334</v>
      </c>
      <c r="M7" s="17" t="s">
        <v>324</v>
      </c>
      <c r="N7" s="18" t="s">
        <v>335</v>
      </c>
      <c r="O7" s="18" t="s">
        <v>336</v>
      </c>
      <c r="P7" s="18" t="s">
        <v>290</v>
      </c>
      <c r="Q7" s="17" t="s">
        <v>203</v>
      </c>
    </row>
    <row r="8" customFormat="false" ht="23.85" hidden="false" customHeight="false" outlineLevel="0" collapsed="false">
      <c r="A8" s="15" t="s">
        <v>337</v>
      </c>
      <c r="B8" s="16" t="s">
        <v>338</v>
      </c>
      <c r="C8" s="15" t="s">
        <v>306</v>
      </c>
      <c r="D8" s="15" t="s">
        <v>339</v>
      </c>
      <c r="E8" s="16" t="s">
        <v>340</v>
      </c>
      <c r="F8" s="16" t="s">
        <v>341</v>
      </c>
      <c r="G8" s="16" t="s">
        <v>342</v>
      </c>
      <c r="H8" s="15" t="s">
        <v>26</v>
      </c>
      <c r="I8" s="15" t="s">
        <v>308</v>
      </c>
      <c r="J8" s="15" t="s">
        <v>309</v>
      </c>
      <c r="K8" s="16" t="s">
        <v>343</v>
      </c>
      <c r="L8" s="15"/>
      <c r="M8" s="15" t="s">
        <v>311</v>
      </c>
      <c r="N8" s="16" t="s">
        <v>344</v>
      </c>
      <c r="O8" s="16" t="s">
        <v>345</v>
      </c>
      <c r="P8" s="16" t="s">
        <v>346</v>
      </c>
      <c r="Q8" s="15" t="s">
        <v>211</v>
      </c>
    </row>
    <row r="9" customFormat="false" ht="23.85" hidden="false" customHeight="false" outlineLevel="0" collapsed="false">
      <c r="A9" s="17" t="s">
        <v>347</v>
      </c>
      <c r="B9" s="18" t="s">
        <v>348</v>
      </c>
      <c r="C9" s="17" t="s">
        <v>306</v>
      </c>
      <c r="D9" s="17" t="s">
        <v>349</v>
      </c>
      <c r="E9" s="18" t="s">
        <v>350</v>
      </c>
      <c r="F9" s="18" t="s">
        <v>128</v>
      </c>
      <c r="G9" s="18" t="s">
        <v>351</v>
      </c>
      <c r="H9" s="17" t="s">
        <v>285</v>
      </c>
      <c r="I9" s="17" t="s">
        <v>286</v>
      </c>
      <c r="J9" s="17" t="s">
        <v>309</v>
      </c>
      <c r="K9" s="18" t="s">
        <v>352</v>
      </c>
      <c r="L9" s="17"/>
      <c r="M9" s="17" t="s">
        <v>311</v>
      </c>
      <c r="N9" s="18" t="s">
        <v>353</v>
      </c>
      <c r="O9" s="18" t="s">
        <v>354</v>
      </c>
      <c r="P9" s="18" t="s">
        <v>355</v>
      </c>
      <c r="Q9" s="17" t="s">
        <v>356</v>
      </c>
    </row>
    <row r="10" customFormat="false" ht="23.85" hidden="false" customHeight="false" outlineLevel="0" collapsed="false">
      <c r="A10" s="15" t="s">
        <v>357</v>
      </c>
      <c r="B10" s="16" t="s">
        <v>358</v>
      </c>
      <c r="C10" s="15" t="s">
        <v>281</v>
      </c>
      <c r="D10" s="15" t="s">
        <v>318</v>
      </c>
      <c r="E10" s="16" t="s">
        <v>359</v>
      </c>
      <c r="F10" s="16" t="s">
        <v>360</v>
      </c>
      <c r="G10" s="16" t="s">
        <v>361</v>
      </c>
      <c r="H10" s="15" t="s">
        <v>285</v>
      </c>
      <c r="I10" s="15" t="s">
        <v>286</v>
      </c>
      <c r="J10" s="15" t="s">
        <v>286</v>
      </c>
      <c r="K10" s="16" t="s">
        <v>362</v>
      </c>
      <c r="L10" s="15" t="s">
        <v>363</v>
      </c>
      <c r="M10" s="15" t="s">
        <v>289</v>
      </c>
      <c r="N10" s="16"/>
      <c r="O10" s="16"/>
      <c r="P10" s="16" t="s">
        <v>327</v>
      </c>
      <c r="Q10" s="15"/>
    </row>
    <row r="11" customFormat="false" ht="23.85" hidden="false" customHeight="false" outlineLevel="0" collapsed="false">
      <c r="A11" s="17" t="s">
        <v>364</v>
      </c>
      <c r="B11" s="18" t="s">
        <v>365</v>
      </c>
      <c r="C11" s="17" t="s">
        <v>281</v>
      </c>
      <c r="D11" s="17" t="s">
        <v>366</v>
      </c>
      <c r="E11" s="18" t="s">
        <v>367</v>
      </c>
      <c r="F11" s="18" t="s">
        <v>154</v>
      </c>
      <c r="G11" s="18" t="s">
        <v>368</v>
      </c>
      <c r="H11" s="17" t="s">
        <v>26</v>
      </c>
      <c r="I11" s="17" t="s">
        <v>321</v>
      </c>
      <c r="J11" s="17" t="s">
        <v>309</v>
      </c>
      <c r="K11" s="18" t="s">
        <v>369</v>
      </c>
      <c r="L11" s="17"/>
      <c r="M11" s="17" t="s">
        <v>311</v>
      </c>
      <c r="N11" s="18" t="s">
        <v>370</v>
      </c>
      <c r="O11" s="18" t="s">
        <v>371</v>
      </c>
      <c r="P11" s="18" t="s">
        <v>355</v>
      </c>
      <c r="Q11" s="17" t="s">
        <v>203</v>
      </c>
    </row>
  </sheetData>
  <autoFilter ref="A1:Q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6" min="4" style="0" width="18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9" min="9" style="0" width="18"/>
    <col collapsed="false" customWidth="true" hidden="false" outlineLevel="0" max="10" min="10" style="0" width="55"/>
  </cols>
  <sheetData>
    <row r="1" customFormat="false" ht="26.85" hidden="false" customHeight="false" outlineLevel="0" collapsed="false">
      <c r="A1" s="11" t="s">
        <v>47</v>
      </c>
      <c r="B1" s="11" t="s">
        <v>372</v>
      </c>
      <c r="C1" s="11" t="s">
        <v>373</v>
      </c>
      <c r="D1" s="11" t="s">
        <v>374</v>
      </c>
      <c r="E1" s="11" t="s">
        <v>62</v>
      </c>
      <c r="F1" s="11" t="s">
        <v>375</v>
      </c>
      <c r="G1" s="11" t="s">
        <v>376</v>
      </c>
      <c r="H1" s="11" t="s">
        <v>377</v>
      </c>
      <c r="I1" s="11" t="s">
        <v>59</v>
      </c>
      <c r="J1" s="11" t="s">
        <v>378</v>
      </c>
    </row>
    <row r="2" customFormat="false" ht="23.85" hidden="false" customHeight="false" outlineLevel="0" collapsed="false">
      <c r="A2" s="26" t="s">
        <v>379</v>
      </c>
      <c r="B2" s="12" t="s">
        <v>380</v>
      </c>
      <c r="C2" s="27" t="s">
        <v>381</v>
      </c>
      <c r="D2" s="12" t="s">
        <v>382</v>
      </c>
      <c r="E2" s="12" t="s">
        <v>383</v>
      </c>
      <c r="F2" s="12" t="s">
        <v>383</v>
      </c>
      <c r="G2" s="12" t="s">
        <v>384</v>
      </c>
      <c r="H2" s="27" t="s">
        <v>385</v>
      </c>
      <c r="I2" s="12" t="s">
        <v>386</v>
      </c>
      <c r="J2" s="27" t="s">
        <v>387</v>
      </c>
    </row>
    <row r="3" customFormat="false" ht="23.85" hidden="false" customHeight="false" outlineLevel="0" collapsed="false">
      <c r="A3" s="28" t="s">
        <v>388</v>
      </c>
      <c r="B3" s="12" t="s">
        <v>389</v>
      </c>
      <c r="C3" s="27" t="s">
        <v>390</v>
      </c>
      <c r="D3" s="12" t="s">
        <v>391</v>
      </c>
      <c r="E3" s="12" t="s">
        <v>392</v>
      </c>
      <c r="F3" s="12" t="s">
        <v>393</v>
      </c>
      <c r="G3" s="12" t="s">
        <v>394</v>
      </c>
      <c r="H3" s="27" t="s">
        <v>395</v>
      </c>
      <c r="I3" s="12" t="s">
        <v>396</v>
      </c>
      <c r="J3" s="27" t="s">
        <v>397</v>
      </c>
    </row>
    <row r="4" customFormat="false" ht="23.85" hidden="false" customHeight="false" outlineLevel="0" collapsed="false">
      <c r="A4" s="29" t="s">
        <v>398</v>
      </c>
      <c r="B4" s="12" t="s">
        <v>399</v>
      </c>
      <c r="C4" s="27" t="s">
        <v>400</v>
      </c>
      <c r="D4" s="12" t="s">
        <v>401</v>
      </c>
      <c r="E4" s="12" t="s">
        <v>109</v>
      </c>
      <c r="F4" s="12" t="s">
        <v>78</v>
      </c>
      <c r="G4" s="12" t="s">
        <v>78</v>
      </c>
      <c r="H4" s="27" t="s">
        <v>402</v>
      </c>
      <c r="I4" s="12" t="s">
        <v>75</v>
      </c>
      <c r="J4" s="27" t="s">
        <v>403</v>
      </c>
    </row>
    <row r="5" customFormat="false" ht="23.85" hidden="false" customHeight="false" outlineLevel="0" collapsed="false">
      <c r="A5" s="30" t="s">
        <v>404</v>
      </c>
      <c r="B5" s="12" t="s">
        <v>405</v>
      </c>
      <c r="C5" s="27" t="s">
        <v>406</v>
      </c>
      <c r="D5" s="12" t="s">
        <v>56</v>
      </c>
      <c r="E5" s="12" t="s">
        <v>78</v>
      </c>
      <c r="F5" s="12" t="s">
        <v>78</v>
      </c>
      <c r="G5" s="12" t="s">
        <v>78</v>
      </c>
      <c r="H5" s="27" t="s">
        <v>407</v>
      </c>
      <c r="I5" s="12" t="s">
        <v>408</v>
      </c>
      <c r="J5" s="27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5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9" t="s">
        <v>410</v>
      </c>
      <c r="B1" s="19"/>
      <c r="C1" s="19"/>
      <c r="D1" s="19"/>
    </row>
    <row r="3" customFormat="false" ht="15" hidden="false" customHeight="false" outlineLevel="0" collapsed="false">
      <c r="A3" s="10" t="s">
        <v>411</v>
      </c>
    </row>
    <row r="4" customFormat="false" ht="15" hidden="false" customHeight="false" outlineLevel="0" collapsed="false">
      <c r="A4" s="11" t="s">
        <v>184</v>
      </c>
      <c r="B4" s="11" t="s">
        <v>412</v>
      </c>
      <c r="C4" s="11" t="s">
        <v>413</v>
      </c>
      <c r="D4" s="11" t="s">
        <v>267</v>
      </c>
    </row>
    <row r="5" customFormat="false" ht="15" hidden="false" customHeight="false" outlineLevel="0" collapsed="false">
      <c r="A5" s="12" t="n">
        <v>1</v>
      </c>
      <c r="B5" s="12" t="s">
        <v>414</v>
      </c>
      <c r="C5" s="27" t="s">
        <v>415</v>
      </c>
      <c r="D5" s="27" t="s">
        <v>416</v>
      </c>
    </row>
    <row r="6" customFormat="false" ht="15" hidden="false" customHeight="false" outlineLevel="0" collapsed="false">
      <c r="A6" s="12" t="n">
        <v>2</v>
      </c>
      <c r="B6" s="12" t="s">
        <v>7</v>
      </c>
      <c r="C6" s="27" t="s">
        <v>417</v>
      </c>
      <c r="D6" s="27" t="s">
        <v>418</v>
      </c>
    </row>
    <row r="7" customFormat="false" ht="23.85" hidden="false" customHeight="false" outlineLevel="0" collapsed="false">
      <c r="A7" s="12" t="n">
        <v>3</v>
      </c>
      <c r="B7" s="12" t="s">
        <v>95</v>
      </c>
      <c r="C7" s="27" t="s">
        <v>419</v>
      </c>
      <c r="D7" s="27" t="s">
        <v>420</v>
      </c>
    </row>
    <row r="8" customFormat="false" ht="15" hidden="false" customHeight="false" outlineLevel="0" collapsed="false">
      <c r="A8" s="12" t="n">
        <v>4</v>
      </c>
      <c r="B8" s="12" t="s">
        <v>5</v>
      </c>
      <c r="C8" s="27" t="s">
        <v>421</v>
      </c>
      <c r="D8" s="27" t="s">
        <v>422</v>
      </c>
    </row>
    <row r="9" customFormat="false" ht="23.85" hidden="false" customHeight="false" outlineLevel="0" collapsed="false">
      <c r="A9" s="12" t="n">
        <v>5</v>
      </c>
      <c r="B9" s="12" t="s">
        <v>4</v>
      </c>
      <c r="C9" s="27" t="s">
        <v>423</v>
      </c>
      <c r="D9" s="27" t="s">
        <v>424</v>
      </c>
    </row>
    <row r="11" customFormat="false" ht="15" hidden="false" customHeight="false" outlineLevel="0" collapsed="false">
      <c r="A11" s="10" t="s">
        <v>425</v>
      </c>
    </row>
    <row r="12" customFormat="false" ht="15" hidden="false" customHeight="false" outlineLevel="0" collapsed="false">
      <c r="A12" s="11" t="s">
        <v>184</v>
      </c>
      <c r="B12" s="11" t="s">
        <v>412</v>
      </c>
      <c r="C12" s="11" t="s">
        <v>426</v>
      </c>
      <c r="D12" s="11" t="s">
        <v>267</v>
      </c>
    </row>
    <row r="13" customFormat="false" ht="15" hidden="false" customHeight="false" outlineLevel="0" collapsed="false">
      <c r="A13" s="12" t="n">
        <v>1</v>
      </c>
      <c r="B13" s="12" t="s">
        <v>427</v>
      </c>
      <c r="C13" s="27" t="s">
        <v>428</v>
      </c>
      <c r="D13" s="27" t="s">
        <v>429</v>
      </c>
    </row>
    <row r="14" customFormat="false" ht="15" hidden="false" customHeight="false" outlineLevel="0" collapsed="false">
      <c r="A14" s="12" t="n">
        <v>2</v>
      </c>
      <c r="B14" s="12" t="s">
        <v>430</v>
      </c>
      <c r="C14" s="27" t="s">
        <v>431</v>
      </c>
      <c r="D14" s="27" t="s">
        <v>432</v>
      </c>
    </row>
    <row r="15" customFormat="false" ht="15" hidden="false" customHeight="false" outlineLevel="0" collapsed="false">
      <c r="A15" s="12" t="n">
        <v>3</v>
      </c>
      <c r="B15" s="12" t="s">
        <v>433</v>
      </c>
      <c r="C15" s="27" t="s">
        <v>434</v>
      </c>
      <c r="D15" s="27" t="s">
        <v>435</v>
      </c>
    </row>
    <row r="16" customFormat="false" ht="15" hidden="false" customHeight="false" outlineLevel="0" collapsed="false">
      <c r="A16" s="12" t="n">
        <v>4</v>
      </c>
      <c r="B16" s="12" t="s">
        <v>436</v>
      </c>
      <c r="C16" s="27" t="s">
        <v>437</v>
      </c>
      <c r="D16" s="27" t="s">
        <v>438</v>
      </c>
    </row>
    <row r="17" customFormat="false" ht="15" hidden="false" customHeight="false" outlineLevel="0" collapsed="false">
      <c r="A17" s="12" t="n">
        <v>5</v>
      </c>
      <c r="B17" s="12" t="s">
        <v>439</v>
      </c>
      <c r="C17" s="27" t="s">
        <v>440</v>
      </c>
      <c r="D17" s="27" t="s">
        <v>441</v>
      </c>
    </row>
    <row r="19" customFormat="false" ht="15" hidden="false" customHeight="false" outlineLevel="0" collapsed="false">
      <c r="A19" s="10" t="s">
        <v>442</v>
      </c>
    </row>
    <row r="20" customFormat="false" ht="15" hidden="false" customHeight="false" outlineLevel="0" collapsed="false">
      <c r="A20" s="11" t="s">
        <v>443</v>
      </c>
      <c r="B20" s="11" t="s">
        <v>444</v>
      </c>
      <c r="C20" s="11" t="s">
        <v>267</v>
      </c>
    </row>
    <row r="21" customFormat="false" ht="35.05" hidden="false" customHeight="false" outlineLevel="0" collapsed="false">
      <c r="A21" s="12" t="s">
        <v>124</v>
      </c>
      <c r="B21" s="27" t="s">
        <v>445</v>
      </c>
      <c r="C21" s="27" t="s">
        <v>446</v>
      </c>
    </row>
    <row r="22" customFormat="false" ht="35.05" hidden="false" customHeight="false" outlineLevel="0" collapsed="false">
      <c r="A22" s="12" t="s">
        <v>95</v>
      </c>
      <c r="B22" s="27" t="s">
        <v>447</v>
      </c>
      <c r="C22" s="27" t="s">
        <v>448</v>
      </c>
    </row>
    <row r="23" customFormat="false" ht="35.05" hidden="false" customHeight="false" outlineLevel="0" collapsed="false">
      <c r="A23" s="12" t="s">
        <v>71</v>
      </c>
      <c r="B23" s="27" t="s">
        <v>449</v>
      </c>
      <c r="C23" s="27" t="s">
        <v>450</v>
      </c>
    </row>
    <row r="25" customFormat="false" ht="15" hidden="false" customHeight="false" outlineLevel="0" collapsed="false">
      <c r="A25" s="10" t="s">
        <v>451</v>
      </c>
    </row>
    <row r="26" customFormat="false" ht="15" hidden="false" customHeight="false" outlineLevel="0" collapsed="false">
      <c r="A26" s="11" t="s">
        <v>184</v>
      </c>
      <c r="B26" s="11" t="s">
        <v>412</v>
      </c>
      <c r="C26" s="11" t="s">
        <v>267</v>
      </c>
    </row>
    <row r="27" customFormat="false" ht="35.05" hidden="false" customHeight="false" outlineLevel="0" collapsed="false">
      <c r="A27" s="12" t="n">
        <v>1</v>
      </c>
      <c r="B27" s="12" t="s">
        <v>452</v>
      </c>
      <c r="C27" s="27" t="s">
        <v>453</v>
      </c>
    </row>
    <row r="28" customFormat="false" ht="23.85" hidden="false" customHeight="false" outlineLevel="0" collapsed="false">
      <c r="A28" s="12" t="n">
        <v>2</v>
      </c>
      <c r="B28" s="12" t="s">
        <v>454</v>
      </c>
      <c r="C28" s="27" t="s">
        <v>455</v>
      </c>
    </row>
    <row r="29" customFormat="false" ht="23.85" hidden="false" customHeight="false" outlineLevel="0" collapsed="false">
      <c r="A29" s="12" t="n">
        <v>3</v>
      </c>
      <c r="B29" s="12" t="s">
        <v>456</v>
      </c>
      <c r="C29" s="27" t="s">
        <v>457</v>
      </c>
    </row>
    <row r="30" customFormat="false" ht="35.05" hidden="false" customHeight="false" outlineLevel="0" collapsed="false">
      <c r="A30" s="12" t="n">
        <v>4</v>
      </c>
      <c r="B30" s="12" t="s">
        <v>458</v>
      </c>
      <c r="C30" s="27" t="s">
        <v>459</v>
      </c>
    </row>
    <row r="31" customFormat="false" ht="35.05" hidden="false" customHeight="false" outlineLevel="0" collapsed="false">
      <c r="A31" s="12" t="n">
        <v>5</v>
      </c>
      <c r="B31" s="12" t="s">
        <v>460</v>
      </c>
      <c r="C31" s="27" t="s">
        <v>461</v>
      </c>
    </row>
    <row r="33" customFormat="false" ht="15" hidden="false" customHeight="false" outlineLevel="0" collapsed="false">
      <c r="A33" s="10" t="s">
        <v>462</v>
      </c>
    </row>
    <row r="34" customFormat="false" ht="15" hidden="false" customHeight="false" outlineLevel="0" collapsed="false">
      <c r="A34" s="11" t="s">
        <v>463</v>
      </c>
      <c r="B34" s="11" t="s">
        <v>267</v>
      </c>
    </row>
    <row r="35" customFormat="false" ht="35.05" hidden="false" customHeight="false" outlineLevel="0" collapsed="false">
      <c r="A35" s="12" t="s">
        <v>24</v>
      </c>
      <c r="B35" s="27" t="s">
        <v>464</v>
      </c>
    </row>
    <row r="36" customFormat="false" ht="35.05" hidden="false" customHeight="false" outlineLevel="0" collapsed="false">
      <c r="A36" s="12" t="s">
        <v>26</v>
      </c>
      <c r="B36" s="27" t="s">
        <v>465</v>
      </c>
    </row>
    <row r="37" customFormat="false" ht="35.05" hidden="false" customHeight="false" outlineLevel="0" collapsed="false">
      <c r="A37" s="12" t="s">
        <v>85</v>
      </c>
      <c r="B37" s="27" t="s">
        <v>466</v>
      </c>
    </row>
    <row r="38" customFormat="false" ht="23.85" hidden="false" customHeight="false" outlineLevel="0" collapsed="false">
      <c r="A38" s="12" t="s">
        <v>165</v>
      </c>
      <c r="B38" s="27" t="s">
        <v>467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5"/>
    <col collapsed="false" customWidth="true" hidden="false" outlineLevel="0" max="6" min="6" style="0" width="35"/>
    <col collapsed="false" customWidth="true" hidden="false" outlineLevel="0" max="7" min="7" style="0" width="25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1" t="s">
        <v>468</v>
      </c>
      <c r="B1" s="11" t="s">
        <v>469</v>
      </c>
      <c r="C1" s="11" t="s">
        <v>470</v>
      </c>
      <c r="D1" s="11" t="s">
        <v>471</v>
      </c>
      <c r="E1" s="11" t="s">
        <v>472</v>
      </c>
      <c r="F1" s="11" t="s">
        <v>473</v>
      </c>
      <c r="G1" s="11" t="s">
        <v>474</v>
      </c>
      <c r="H1" s="11" t="s">
        <v>475</v>
      </c>
    </row>
    <row r="2" customFormat="false" ht="23.85" hidden="false" customHeight="false" outlineLevel="0" collapsed="false">
      <c r="A2" s="12" t="s">
        <v>66</v>
      </c>
      <c r="B2" s="12" t="s">
        <v>476</v>
      </c>
      <c r="C2" s="12" t="s">
        <v>477</v>
      </c>
      <c r="D2" s="27" t="s">
        <v>478</v>
      </c>
      <c r="E2" s="27" t="s">
        <v>311</v>
      </c>
      <c r="F2" s="27" t="s">
        <v>479</v>
      </c>
      <c r="G2" s="27" t="s">
        <v>480</v>
      </c>
      <c r="H2" s="27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2026-03-18T10:40:01Z</dcterms:created>
  <dc:creator>openpyxl</dc:creator>
  <dc:description/>
  <dc:language>en-US</dc:language>
  <cp:lastModifiedBy/>
  <dcterms:modified xsi:type="dcterms:W3CDTF">2026-03-18T10:40:02Z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